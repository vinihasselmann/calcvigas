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omercial\Orçamento\03 - MATERIAL DE APOIO\02 - Planilhas\02 - Lajes\"/>
    </mc:Choice>
  </mc:AlternateContent>
  <xr:revisionPtr revIDLastSave="0" documentId="13_ncr:1_{E2C3B4AB-7CAE-4965-B6D0-04D5C457978F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Plan1!$F$9:$F$56</definedName>
    <definedName name="_xlnm.Print_Area" localSheetId="0">Plan1!$B$1:$J$32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U8" i="1"/>
  <c r="U7" i="1"/>
  <c r="U6" i="1"/>
  <c r="U5" i="1"/>
  <c r="U4" i="1"/>
  <c r="U3" i="1"/>
  <c r="T4" i="1"/>
  <c r="V4" i="1" s="1"/>
  <c r="Q4" i="1" s="1"/>
  <c r="T5" i="1"/>
  <c r="V5" i="1" s="1"/>
  <c r="Q5" i="1" s="1"/>
  <c r="T6" i="1"/>
  <c r="T7" i="1"/>
  <c r="V7" i="1" s="1"/>
  <c r="Q7" i="1" s="1"/>
  <c r="T8" i="1"/>
  <c r="V8" i="1" s="1"/>
  <c r="Q8" i="1" s="1"/>
  <c r="T3" i="1"/>
  <c r="V3" i="1" s="1"/>
  <c r="Q3" i="1" s="1"/>
  <c r="O21" i="1"/>
  <c r="O22" i="1"/>
  <c r="O23" i="1"/>
  <c r="O24" i="1"/>
  <c r="O25" i="1"/>
  <c r="O26" i="1"/>
  <c r="V6" i="1" l="1"/>
  <c r="Q6" i="1" s="1"/>
  <c r="E8" i="1"/>
  <c r="E7" i="1"/>
  <c r="E6" i="1"/>
  <c r="E5" i="1"/>
  <c r="E4" i="1"/>
  <c r="E3" i="1"/>
  <c r="E9" i="1" s="1"/>
  <c r="D8" i="1"/>
  <c r="D7" i="1"/>
  <c r="D6" i="1"/>
  <c r="D5" i="1"/>
  <c r="D4" i="1"/>
  <c r="D3" i="1"/>
  <c r="C41" i="1"/>
  <c r="C42" i="1" s="1"/>
  <c r="E40" i="1" s="1"/>
  <c r="E41" i="1" s="1"/>
  <c r="E42" i="1" s="1"/>
  <c r="F8" i="1" l="1"/>
  <c r="F4" i="1"/>
  <c r="F5" i="1"/>
  <c r="F6" i="1"/>
  <c r="F3" i="1"/>
  <c r="F7" i="1"/>
  <c r="O12" i="1"/>
  <c r="O13" i="1"/>
  <c r="O14" i="1"/>
  <c r="O15" i="1"/>
  <c r="O16" i="1"/>
  <c r="O11" i="1"/>
  <c r="G8" i="1" l="1"/>
  <c r="G7" i="1"/>
  <c r="G6" i="1"/>
  <c r="G5" i="1"/>
  <c r="G4" i="1"/>
  <c r="G3" i="1"/>
  <c r="E24" i="2"/>
  <c r="I24" i="2" s="1"/>
  <c r="E25" i="2"/>
  <c r="I25" i="2" s="1"/>
  <c r="E26" i="2"/>
  <c r="I26" i="2" s="1"/>
  <c r="E27" i="2"/>
  <c r="I27" i="2" s="1"/>
  <c r="E23" i="2"/>
  <c r="R3" i="1" l="1"/>
  <c r="N3" i="1"/>
  <c r="O3" i="1" s="1"/>
  <c r="P3" i="1" s="1"/>
  <c r="R6" i="1"/>
  <c r="N6" i="1"/>
  <c r="O6" i="1" s="1"/>
  <c r="P6" i="1" s="1"/>
  <c r="R4" i="1"/>
  <c r="N4" i="1"/>
  <c r="O4" i="1" s="1"/>
  <c r="P4" i="1" s="1"/>
  <c r="R5" i="1"/>
  <c r="N5" i="1"/>
  <c r="O5" i="1" s="1"/>
  <c r="P5" i="1" s="1"/>
  <c r="R7" i="1"/>
  <c r="N7" i="1"/>
  <c r="O7" i="1" s="1"/>
  <c r="P7" i="1" s="1"/>
  <c r="R8" i="1"/>
  <c r="N8" i="1"/>
  <c r="O8" i="1" s="1"/>
  <c r="P8" i="1" s="1"/>
  <c r="E29" i="2"/>
  <c r="I23" i="2"/>
  <c r="I29" i="2" s="1"/>
  <c r="I30" i="2" s="1"/>
  <c r="I8" i="1"/>
  <c r="I6" i="1"/>
  <c r="H6" i="1" s="1"/>
  <c r="I26" i="1" l="1"/>
  <c r="I28" i="1"/>
  <c r="I24" i="1"/>
  <c r="I25" i="1"/>
  <c r="I27" i="1"/>
  <c r="I29" i="1"/>
  <c r="H8" i="1"/>
  <c r="I7" i="1"/>
  <c r="H7" i="1" s="1"/>
  <c r="H5" i="1"/>
  <c r="M26" i="1" l="1"/>
  <c r="M25" i="1"/>
  <c r="M27" i="1"/>
  <c r="J6" i="1"/>
  <c r="M14" i="1"/>
  <c r="M17" i="1"/>
  <c r="M19" i="1"/>
  <c r="M13" i="1"/>
  <c r="M15" i="1"/>
  <c r="M18" i="1"/>
  <c r="M20" i="1"/>
  <c r="I5" i="1"/>
  <c r="I14" i="1" s="1"/>
  <c r="J8" i="1" l="1"/>
  <c r="I13" i="1"/>
  <c r="J7" i="1"/>
  <c r="I15" i="1"/>
  <c r="I3" i="1"/>
  <c r="H3" i="1" s="1"/>
  <c r="J3" i="1" s="1"/>
  <c r="I4" i="1"/>
  <c r="H4" i="1" s="1"/>
  <c r="J5" i="1" l="1"/>
  <c r="E22" i="1"/>
  <c r="E21" i="1"/>
  <c r="E20" i="1"/>
  <c r="J4" i="1" l="1"/>
</calcChain>
</file>

<file path=xl/sharedStrings.xml><?xml version="1.0" encoding="utf-8"?>
<sst xmlns="http://schemas.openxmlformats.org/spreadsheetml/2006/main" count="368" uniqueCount="168">
  <si>
    <t>LAJE</t>
  </si>
  <si>
    <t>PESO PRÓPRIO</t>
  </si>
  <si>
    <t>SOBRECARGA</t>
  </si>
  <si>
    <t>CAPA</t>
  </si>
  <si>
    <t>TOTAL</t>
  </si>
  <si>
    <t>FORÇA CORTANTE</t>
  </si>
  <si>
    <t>MOMENTO FLETOR</t>
  </si>
  <si>
    <t>VÃO</t>
  </si>
  <si>
    <t>LAJE LP15</t>
  </si>
  <si>
    <t>Mmáx</t>
  </si>
  <si>
    <t>Vmáx</t>
  </si>
  <si>
    <t>LAJE LP20</t>
  </si>
  <si>
    <t>CAPA 5cm / fck=30MPa</t>
  </si>
  <si>
    <t>LAJE LP26,5</t>
  </si>
  <si>
    <t>9 x 9,5mm</t>
  </si>
  <si>
    <t>7 x 9,5mm</t>
  </si>
  <si>
    <t>5 x 9,5mm</t>
  </si>
  <si>
    <t>7 x 12,7mm</t>
  </si>
  <si>
    <t>5 x 12,7mm</t>
  </si>
  <si>
    <t>10 x 12,7mm</t>
  </si>
  <si>
    <t>8 x 12,7mm</t>
  </si>
  <si>
    <t>6 x 12,7mm</t>
  </si>
  <si>
    <t>4 x 12,7mm</t>
  </si>
  <si>
    <t>6 x 9,5mm</t>
  </si>
  <si>
    <t>4 x 9,5mm</t>
  </si>
  <si>
    <t>LAJE LP32</t>
  </si>
  <si>
    <t>11 x 12,7mm</t>
  </si>
  <si>
    <t>9 x 12,7mm</t>
  </si>
  <si>
    <t>LAJE LP40</t>
  </si>
  <si>
    <t>14 x 12,7mm</t>
  </si>
  <si>
    <t>13 x 12,7mm</t>
  </si>
  <si>
    <t>concretagem de alveolos</t>
  </si>
  <si>
    <t>Vmáx (calculo)</t>
  </si>
  <si>
    <t>vmáx (tabela)</t>
  </si>
  <si>
    <t>comprimento máximo 9,50m</t>
  </si>
  <si>
    <t>comprimento máximo 12,00m</t>
  </si>
  <si>
    <t>comprimento máximo 15,00m</t>
  </si>
  <si>
    <t>comprimento máximo 17,00m</t>
  </si>
  <si>
    <t>comprimento máximo 16,00m</t>
  </si>
  <si>
    <t>LAJE LP50</t>
  </si>
  <si>
    <t>SC</t>
  </si>
  <si>
    <t>RS</t>
  </si>
  <si>
    <t>RJ</t>
  </si>
  <si>
    <t>SP</t>
  </si>
  <si>
    <t>Telha W37</t>
  </si>
  <si>
    <t>Telha W53</t>
  </si>
  <si>
    <t>Estaca Centrifugada</t>
  </si>
  <si>
    <t>X</t>
  </si>
  <si>
    <r>
      <t xml:space="preserve"> </t>
    </r>
    <r>
      <rPr>
        <b/>
        <sz val="12"/>
        <rFont val="Calibri"/>
        <family val="2"/>
        <scheme val="minor"/>
      </rPr>
      <t xml:space="preserve">NÃO </t>
    </r>
    <r>
      <rPr>
        <sz val="12"/>
        <rFont val="Calibri"/>
        <family val="2"/>
        <scheme val="minor"/>
      </rPr>
      <t>FABRICA</t>
    </r>
  </si>
  <si>
    <t>Q 91</t>
  </si>
  <si>
    <t>Q 92</t>
  </si>
  <si>
    <t>Q 93</t>
  </si>
  <si>
    <t>Q 94</t>
  </si>
  <si>
    <t>Q 95</t>
  </si>
  <si>
    <t>Q 96</t>
  </si>
  <si>
    <t>Q 97</t>
  </si>
  <si>
    <t>Q 98</t>
  </si>
  <si>
    <t>Q 99</t>
  </si>
  <si>
    <t>Q 100</t>
  </si>
  <si>
    <t>Q 101</t>
  </si>
  <si>
    <t>Q 102</t>
  </si>
  <si>
    <t>Q 103</t>
  </si>
  <si>
    <t>Q 104</t>
  </si>
  <si>
    <t>Q 105</t>
  </si>
  <si>
    <t>Q 106</t>
  </si>
  <si>
    <t>Q 107</t>
  </si>
  <si>
    <t>Q 108</t>
  </si>
  <si>
    <t>Q 109</t>
  </si>
  <si>
    <t>Q 110</t>
  </si>
  <si>
    <t>Q 111</t>
  </si>
  <si>
    <t>Q 112</t>
  </si>
  <si>
    <t>Q 113</t>
  </si>
  <si>
    <t>Q 114</t>
  </si>
  <si>
    <t>Q 115</t>
  </si>
  <si>
    <t>Q 116</t>
  </si>
  <si>
    <t>Q 117</t>
  </si>
  <si>
    <t>Q 118</t>
  </si>
  <si>
    <t>Q 119</t>
  </si>
  <si>
    <t>Q 120</t>
  </si>
  <si>
    <t>Q 121</t>
  </si>
  <si>
    <t>Q 122</t>
  </si>
  <si>
    <t>Q 123</t>
  </si>
  <si>
    <t>Q 124</t>
  </si>
  <si>
    <t>Q 125</t>
  </si>
  <si>
    <t>Q 126</t>
  </si>
  <si>
    <t>Q 127</t>
  </si>
  <si>
    <t>Q 128</t>
  </si>
  <si>
    <t>Q 129</t>
  </si>
  <si>
    <t>Q 130</t>
  </si>
  <si>
    <t>Q 131</t>
  </si>
  <si>
    <t>Q 132</t>
  </si>
  <si>
    <t>Q 133</t>
  </si>
  <si>
    <t>Q 134</t>
  </si>
  <si>
    <t>Q 135</t>
  </si>
  <si>
    <t>Q 136</t>
  </si>
  <si>
    <t>Q 137</t>
  </si>
  <si>
    <t>Q 138</t>
  </si>
  <si>
    <t>Q 139</t>
  </si>
  <si>
    <t>Q 140</t>
  </si>
  <si>
    <t>Q 141</t>
  </si>
  <si>
    <t>Q 142</t>
  </si>
  <si>
    <t>Q 143</t>
  </si>
  <si>
    <t>Q 144</t>
  </si>
  <si>
    <t>Q 145</t>
  </si>
  <si>
    <t>Q 146</t>
  </si>
  <si>
    <t>Q 147</t>
  </si>
  <si>
    <t>Q 148</t>
  </si>
  <si>
    <t>Q 149</t>
  </si>
  <si>
    <t>Q 150</t>
  </si>
  <si>
    <t>Q 151</t>
  </si>
  <si>
    <t>Q 152</t>
  </si>
  <si>
    <t>Q 153</t>
  </si>
  <si>
    <t>Q 154</t>
  </si>
  <si>
    <t>Q 155</t>
  </si>
  <si>
    <t>Q 156</t>
  </si>
  <si>
    <t>Q 157</t>
  </si>
  <si>
    <t>Q 158</t>
  </si>
  <si>
    <t>Q 159</t>
  </si>
  <si>
    <t>Q 160</t>
  </si>
  <si>
    <t>Q 161</t>
  </si>
  <si>
    <t>Q 162</t>
  </si>
  <si>
    <t>Q 163</t>
  </si>
  <si>
    <t>Q 164</t>
  </si>
  <si>
    <t>Q 165</t>
  </si>
  <si>
    <t>Q 166</t>
  </si>
  <si>
    <t>Q 167</t>
  </si>
  <si>
    <t>Q 168</t>
  </si>
  <si>
    <t>Q 169</t>
  </si>
  <si>
    <t>Q 170</t>
  </si>
  <si>
    <t>Q 171</t>
  </si>
  <si>
    <t>Q 172</t>
  </si>
  <si>
    <t>Q 173</t>
  </si>
  <si>
    <t>Q 174</t>
  </si>
  <si>
    <t>Q 175</t>
  </si>
  <si>
    <t>Q 176</t>
  </si>
  <si>
    <t>Q 177</t>
  </si>
  <si>
    <t>Q 178</t>
  </si>
  <si>
    <t>Q 179</t>
  </si>
  <si>
    <t>Q 180</t>
  </si>
  <si>
    <t xml:space="preserve"> </t>
  </si>
  <si>
    <t>GERAL</t>
  </si>
  <si>
    <t>LP15</t>
  </si>
  <si>
    <t>LP20</t>
  </si>
  <si>
    <t>LP26,5</t>
  </si>
  <si>
    <t>LP32</t>
  </si>
  <si>
    <t>LP40</t>
  </si>
  <si>
    <t>LP50</t>
  </si>
  <si>
    <t>VÃO MÁXIMO</t>
  </si>
  <si>
    <t>FRETE</t>
  </si>
  <si>
    <t>L</t>
  </si>
  <si>
    <t>concretar (C)</t>
  </si>
  <si>
    <t>L/2 - C</t>
  </si>
  <si>
    <t>LAJES</t>
  </si>
  <si>
    <t>CABOS</t>
  </si>
  <si>
    <t>VÃOS MÁXIMOS</t>
  </si>
  <si>
    <t>CORDOALHAS</t>
  </si>
  <si>
    <t>SOBREC.</t>
  </si>
  <si>
    <t>X.v0</t>
  </si>
  <si>
    <t>1 CONTINUIDADE</t>
  </si>
  <si>
    <t>VS.MAX</t>
  </si>
  <si>
    <t>kgf</t>
  </si>
  <si>
    <t>MS+ max</t>
  </si>
  <si>
    <t>As-</t>
  </si>
  <si>
    <t>TAXA
kg/m²</t>
  </si>
  <si>
    <t>d (cm)</t>
  </si>
  <si>
    <r>
      <rPr>
        <sz val="11"/>
        <color theme="1"/>
        <rFont val="Calibri"/>
        <family val="2"/>
      </rPr>
      <t>∑</t>
    </r>
    <r>
      <rPr>
        <sz val="11"/>
        <color theme="1"/>
        <rFont val="Calibri"/>
        <family val="2"/>
        <scheme val="minor"/>
      </rPr>
      <t xml:space="preserve"> bw LP</t>
    </r>
  </si>
  <si>
    <t>x</t>
  </si>
  <si>
    <t>fck capa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</si>
</sst>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&quot;R$&quot;\ #,##0.00"/>
    <numFmt numFmtId="166" formatCode="#,##0.0"/>
    <numFmt numFmtId="167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b/>
      <sz val="9"/>
      <color rgb="FF00B05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40">
    <xf numFmtId="0" fontId="0" fillId="0" borderId="0" xfId="0"/>
    <xf numFmtId="0" fontId="7" fillId="0" borderId="0" xfId="0" applyFont="1"/>
    <xf numFmtId="4" fontId="0" fillId="0" borderId="0" xfId="0" applyNumberFormat="1"/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3" fillId="0" borderId="0" xfId="0" applyFont="1"/>
    <xf numFmtId="0" fontId="11" fillId="0" borderId="13" xfId="0" applyFont="1" applyBorder="1"/>
    <xf numFmtId="0" fontId="12" fillId="0" borderId="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1" fillId="0" borderId="13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0" xfId="0" applyFont="1"/>
    <xf numFmtId="0" fontId="0" fillId="0" borderId="1" xfId="0" applyBorder="1"/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7" fillId="8" borderId="1" xfId="0" applyFont="1" applyFill="1" applyBorder="1" applyAlignment="1">
      <alignment horizontal="center" wrapText="1"/>
    </xf>
    <xf numFmtId="0" fontId="7" fillId="9" borderId="1" xfId="0" applyFont="1" applyFill="1" applyBorder="1" applyAlignment="1" applyProtection="1">
      <alignment horizontal="center" wrapText="1"/>
      <protection locked="0"/>
    </xf>
    <xf numFmtId="0" fontId="2" fillId="4" borderId="1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64" fontId="2" fillId="4" borderId="21" xfId="0" applyNumberFormat="1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8" borderId="1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 wrapText="1"/>
    </xf>
    <xf numFmtId="0" fontId="2" fillId="4" borderId="13" xfId="0" applyFont="1" applyFill="1" applyBorder="1" applyAlignment="1">
      <alignment horizontal="center" wrapText="1"/>
    </xf>
    <xf numFmtId="164" fontId="2" fillId="4" borderId="14" xfId="0" applyNumberFormat="1" applyFont="1" applyFill="1" applyBorder="1" applyAlignment="1">
      <alignment horizontal="center" wrapText="1"/>
    </xf>
    <xf numFmtId="0" fontId="2" fillId="7" borderId="15" xfId="0" applyFont="1" applyFill="1" applyBorder="1" applyAlignment="1">
      <alignment horizontal="center" wrapText="1"/>
    </xf>
    <xf numFmtId="0" fontId="2" fillId="7" borderId="16" xfId="0" applyFont="1" applyFill="1" applyBorder="1" applyAlignment="1">
      <alignment horizontal="center" wrapText="1"/>
    </xf>
    <xf numFmtId="0" fontId="2" fillId="7" borderId="27" xfId="0" applyFont="1" applyFill="1" applyBorder="1" applyAlignment="1">
      <alignment horizontal="center" wrapText="1"/>
    </xf>
    <xf numFmtId="164" fontId="2" fillId="7" borderId="17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5" fillId="5" borderId="8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0" fillId="9" borderId="1" xfId="0" applyFill="1" applyBorder="1" applyAlignment="1">
      <alignment wrapText="1"/>
    </xf>
    <xf numFmtId="0" fontId="1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6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165" fontId="0" fillId="0" borderId="0" xfId="0" applyNumberFormat="1" applyAlignment="1">
      <alignment wrapText="1"/>
    </xf>
    <xf numFmtId="0" fontId="6" fillId="0" borderId="2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166" fontId="2" fillId="4" borderId="2" xfId="0" applyNumberFormat="1" applyFont="1" applyFill="1" applyBorder="1" applyAlignment="1">
      <alignment horizontal="center" wrapText="1"/>
    </xf>
    <xf numFmtId="166" fontId="2" fillId="4" borderId="28" xfId="0" applyNumberFormat="1" applyFont="1" applyFill="1" applyBorder="1" applyAlignment="1">
      <alignment horizontal="center" wrapText="1"/>
    </xf>
    <xf numFmtId="166" fontId="2" fillId="6" borderId="2" xfId="0" applyNumberFormat="1" applyFont="1" applyFill="1" applyBorder="1" applyAlignment="1">
      <alignment horizontal="center" wrapText="1"/>
    </xf>
    <xf numFmtId="166" fontId="2" fillId="0" borderId="24" xfId="0" applyNumberFormat="1" applyFont="1" applyBorder="1" applyAlignment="1">
      <alignment horizontal="center" wrapText="1"/>
    </xf>
    <xf numFmtId="166" fontId="2" fillId="4" borderId="1" xfId="0" applyNumberFormat="1" applyFont="1" applyFill="1" applyBorder="1" applyAlignment="1">
      <alignment horizontal="center" wrapText="1"/>
    </xf>
    <xf numFmtId="166" fontId="2" fillId="4" borderId="24" xfId="0" applyNumberFormat="1" applyFont="1" applyFill="1" applyBorder="1" applyAlignment="1">
      <alignment horizontal="center" wrapText="1"/>
    </xf>
    <xf numFmtId="166" fontId="2" fillId="0" borderId="1" xfId="0" applyNumberFormat="1" applyFont="1" applyBorder="1" applyAlignment="1">
      <alignment horizontal="center" wrapText="1"/>
    </xf>
    <xf numFmtId="166" fontId="2" fillId="7" borderId="16" xfId="0" applyNumberFormat="1" applyFont="1" applyFill="1" applyBorder="1" applyAlignment="1">
      <alignment horizontal="center" wrapText="1"/>
    </xf>
    <xf numFmtId="166" fontId="2" fillId="7" borderId="29" xfId="0" applyNumberFormat="1" applyFont="1" applyFill="1" applyBorder="1" applyAlignment="1">
      <alignment horizontal="center" wrapText="1"/>
    </xf>
    <xf numFmtId="3" fontId="0" fillId="0" borderId="1" xfId="0" applyNumberFormat="1" applyBorder="1" applyAlignment="1">
      <alignment horizontal="right" wrapText="1" indent="1"/>
    </xf>
    <xf numFmtId="3" fontId="0" fillId="10" borderId="1" xfId="0" applyNumberFormat="1" applyFill="1" applyBorder="1" applyAlignment="1">
      <alignment horizontal="right" wrapText="1" indent="1"/>
    </xf>
    <xf numFmtId="0" fontId="0" fillId="0" borderId="1" xfId="0" applyBorder="1" applyAlignment="1">
      <alignment horizontal="left" wrapText="1" indent="1"/>
    </xf>
    <xf numFmtId="0" fontId="0" fillId="10" borderId="1" xfId="0" applyFill="1" applyBorder="1" applyAlignment="1">
      <alignment horizontal="left" wrapText="1" indent="1"/>
    </xf>
    <xf numFmtId="43" fontId="0" fillId="0" borderId="1" xfId="1" applyFont="1" applyBorder="1" applyAlignment="1">
      <alignment wrapText="1"/>
    </xf>
    <xf numFmtId="0" fontId="0" fillId="0" borderId="0" xfId="0" applyAlignment="1">
      <alignment horizontal="center" wrapText="1"/>
    </xf>
    <xf numFmtId="43" fontId="0" fillId="0" borderId="0" xfId="1" applyFont="1" applyAlignment="1">
      <alignment wrapText="1"/>
    </xf>
    <xf numFmtId="43" fontId="0" fillId="9" borderId="1" xfId="1" applyFont="1" applyFill="1" applyBorder="1" applyAlignment="1" applyProtection="1">
      <alignment wrapText="1"/>
      <protection locked="0"/>
    </xf>
    <xf numFmtId="167" fontId="0" fillId="9" borderId="1" xfId="1" applyNumberFormat="1" applyFont="1" applyFill="1" applyBorder="1" applyAlignment="1" applyProtection="1">
      <alignment wrapText="1"/>
      <protection locked="0"/>
    </xf>
    <xf numFmtId="167" fontId="0" fillId="9" borderId="1" xfId="1" applyNumberFormat="1" applyFont="1" applyFill="1" applyBorder="1" applyAlignment="1" applyProtection="1">
      <alignment horizontal="left" wrapText="1" indent="2"/>
      <protection locked="0"/>
    </xf>
    <xf numFmtId="2" fontId="2" fillId="4" borderId="2" xfId="1" applyNumberFormat="1" applyFont="1" applyFill="1" applyBorder="1" applyAlignment="1">
      <alignment horizontal="center" wrapText="1"/>
    </xf>
    <xf numFmtId="2" fontId="2" fillId="0" borderId="1" xfId="1" applyNumberFormat="1" applyFont="1" applyBorder="1" applyAlignment="1">
      <alignment horizontal="center" wrapText="1"/>
    </xf>
    <xf numFmtId="2" fontId="2" fillId="4" borderId="1" xfId="1" applyNumberFormat="1" applyFont="1" applyFill="1" applyBorder="1" applyAlignment="1">
      <alignment horizontal="center" wrapText="1"/>
    </xf>
    <xf numFmtId="2" fontId="2" fillId="7" borderId="16" xfId="1" applyNumberFormat="1" applyFont="1" applyFill="1" applyBorder="1" applyAlignment="1">
      <alignment horizontal="center" wrapText="1"/>
    </xf>
    <xf numFmtId="167" fontId="0" fillId="9" borderId="20" xfId="1" applyNumberFormat="1" applyFont="1" applyFill="1" applyBorder="1" applyAlignment="1">
      <alignment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20" xfId="0" applyFill="1" applyBorder="1" applyAlignment="1">
      <alignment wrapText="1"/>
    </xf>
    <xf numFmtId="167" fontId="0" fillId="0" borderId="0" xfId="0" applyNumberFormat="1" applyAlignment="1">
      <alignment wrapText="1"/>
    </xf>
    <xf numFmtId="43" fontId="0" fillId="0" borderId="2" xfId="0" applyNumberFormat="1" applyBorder="1" applyAlignment="1">
      <alignment wrapText="1"/>
    </xf>
    <xf numFmtId="43" fontId="0" fillId="0" borderId="30" xfId="0" applyNumberFormat="1" applyBorder="1" applyAlignment="1">
      <alignment wrapText="1"/>
    </xf>
    <xf numFmtId="2" fontId="2" fillId="4" borderId="20" xfId="1" applyNumberFormat="1" applyFont="1" applyFill="1" applyBorder="1" applyAlignment="1">
      <alignment horizontal="center" wrapText="1"/>
    </xf>
    <xf numFmtId="166" fontId="2" fillId="4" borderId="20" xfId="0" applyNumberFormat="1" applyFont="1" applyFill="1" applyBorder="1" applyAlignment="1">
      <alignment horizontal="center" wrapText="1"/>
    </xf>
    <xf numFmtId="43" fontId="0" fillId="0" borderId="20" xfId="0" applyNumberFormat="1" applyBorder="1" applyAlignment="1">
      <alignment wrapText="1"/>
    </xf>
    <xf numFmtId="43" fontId="0" fillId="0" borderId="21" xfId="0" applyNumberFormat="1" applyBorder="1" applyAlignment="1">
      <alignment wrapText="1"/>
    </xf>
    <xf numFmtId="43" fontId="0" fillId="0" borderId="27" xfId="0" applyNumberFormat="1" applyBorder="1" applyAlignment="1">
      <alignment wrapText="1"/>
    </xf>
    <xf numFmtId="43" fontId="0" fillId="0" borderId="31" xfId="0" applyNumberFormat="1" applyBorder="1" applyAlignment="1">
      <alignment wrapText="1"/>
    </xf>
    <xf numFmtId="3" fontId="0" fillId="0" borderId="1" xfId="0" applyNumberFormat="1" applyBorder="1" applyAlignment="1">
      <alignment wrapText="1"/>
    </xf>
    <xf numFmtId="0" fontId="0" fillId="2" borderId="21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6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5" fillId="5" borderId="10" xfId="0" applyFont="1" applyFill="1" applyBorder="1" applyAlignment="1">
      <alignment horizont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wrapText="1"/>
    </xf>
    <xf numFmtId="0" fontId="7" fillId="0" borderId="25" xfId="0" applyFont="1" applyBorder="1" applyAlignment="1">
      <alignment horizontal="center" wrapText="1"/>
    </xf>
    <xf numFmtId="0" fontId="7" fillId="8" borderId="24" xfId="0" applyFont="1" applyFill="1" applyBorder="1" applyAlignment="1">
      <alignment horizontal="center" wrapText="1"/>
    </xf>
    <xf numFmtId="0" fontId="7" fillId="8" borderId="25" xfId="0" applyFont="1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4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66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FF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628650</xdr:colOff>
      <xdr:row>46</xdr:row>
      <xdr:rowOff>171450</xdr:rowOff>
    </xdr:from>
    <xdr:to>
      <xdr:col>8</xdr:col>
      <xdr:colOff>643890</xdr:colOff>
      <xdr:row>56</xdr:row>
      <xdr:rowOff>178683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90800" y="9639300"/>
          <a:ext cx="4314825" cy="19227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56"/>
  <sheetViews>
    <sheetView tabSelected="1" topLeftCell="A6" zoomScaleNormal="100" zoomScaleSheetLayoutView="100" workbookViewId="0">
      <selection activeCell="G29" sqref="G29"/>
    </sheetView>
  </sheetViews>
  <sheetFormatPr defaultColWidth="9.140625" defaultRowHeight="15" x14ac:dyDescent="0.25"/>
  <cols>
    <col min="1" max="1" width="2.5703125" style="30" customWidth="1"/>
    <col min="2" max="2" width="13.42578125" style="30" customWidth="1"/>
    <col min="3" max="3" width="13.140625" style="30" customWidth="1"/>
    <col min="4" max="4" width="12.42578125" style="30" customWidth="1"/>
    <col min="5" max="5" width="10.7109375" style="30" customWidth="1"/>
    <col min="6" max="7" width="13.42578125" style="30" customWidth="1"/>
    <col min="8" max="8" width="14.5703125" style="30" customWidth="1"/>
    <col min="9" max="9" width="13.5703125" style="30" customWidth="1"/>
    <col min="10" max="10" width="14.5703125" style="30" customWidth="1"/>
    <col min="11" max="12" width="13.42578125" style="30" customWidth="1"/>
    <col min="13" max="13" width="4.7109375" style="30" customWidth="1"/>
    <col min="14" max="14" width="13.42578125" style="30" customWidth="1"/>
    <col min="15" max="15" width="10.28515625" style="30" customWidth="1"/>
    <col min="16" max="16" width="13.42578125" style="30" customWidth="1"/>
    <col min="17" max="17" width="9.42578125" style="30" customWidth="1"/>
    <col min="18" max="19" width="9.140625" style="30"/>
    <col min="20" max="22" width="0" style="30" hidden="1" customWidth="1"/>
    <col min="23" max="16384" width="9.140625" style="30"/>
  </cols>
  <sheetData>
    <row r="1" spans="2:22" ht="15" customHeight="1" x14ac:dyDescent="0.25">
      <c r="B1" s="121" t="s">
        <v>0</v>
      </c>
      <c r="C1" s="121" t="s">
        <v>1</v>
      </c>
      <c r="D1" s="123" t="s">
        <v>2</v>
      </c>
      <c r="E1" s="121" t="s">
        <v>3</v>
      </c>
      <c r="F1" s="127" t="s">
        <v>4</v>
      </c>
      <c r="G1" s="123" t="s">
        <v>7</v>
      </c>
      <c r="H1" s="114" t="s">
        <v>6</v>
      </c>
      <c r="I1" s="114" t="s">
        <v>5</v>
      </c>
      <c r="J1" s="114" t="s">
        <v>153</v>
      </c>
      <c r="K1" s="129" t="s">
        <v>152</v>
      </c>
      <c r="L1" s="130"/>
      <c r="N1" s="133" t="s">
        <v>158</v>
      </c>
      <c r="O1" s="134"/>
      <c r="P1" s="95">
        <v>0</v>
      </c>
      <c r="Q1" s="98" t="s">
        <v>160</v>
      </c>
      <c r="R1" s="109" t="s">
        <v>163</v>
      </c>
    </row>
    <row r="2" spans="2:22" ht="15.75" thickBot="1" x14ac:dyDescent="0.3">
      <c r="B2" s="122"/>
      <c r="C2" s="122"/>
      <c r="D2" s="124"/>
      <c r="E2" s="122"/>
      <c r="F2" s="128"/>
      <c r="G2" s="124"/>
      <c r="H2" s="115"/>
      <c r="I2" s="115"/>
      <c r="J2" s="115" t="s">
        <v>153</v>
      </c>
      <c r="K2" s="131" t="s">
        <v>140</v>
      </c>
      <c r="L2" s="132"/>
      <c r="N2" s="96" t="s">
        <v>159</v>
      </c>
      <c r="O2" s="97" t="s">
        <v>157</v>
      </c>
      <c r="P2" s="97" t="s">
        <v>161</v>
      </c>
      <c r="Q2" s="97" t="s">
        <v>162</v>
      </c>
      <c r="R2" s="110"/>
      <c r="T2" s="86" t="s">
        <v>164</v>
      </c>
      <c r="U2" s="86" t="s">
        <v>165</v>
      </c>
      <c r="V2" s="86" t="s">
        <v>166</v>
      </c>
    </row>
    <row r="3" spans="2:22" x14ac:dyDescent="0.25">
      <c r="B3" s="33">
        <v>15</v>
      </c>
      <c r="C3" s="34">
        <v>245</v>
      </c>
      <c r="D3" s="34">
        <f t="shared" ref="D3:D8" si="0">$L$3</f>
        <v>500</v>
      </c>
      <c r="E3" s="34">
        <f t="shared" ref="E3:E8" si="1">(($L$5+1)/100)*2500</f>
        <v>150</v>
      </c>
      <c r="F3" s="35">
        <f>C3+D3+E3</f>
        <v>895</v>
      </c>
      <c r="G3" s="91">
        <f t="shared" ref="G3:G8" si="2">L$4</f>
        <v>12.5</v>
      </c>
      <c r="H3" s="72">
        <f t="shared" ref="H3:H8" si="3">(F3*G3^2)/8</f>
        <v>17480.46875</v>
      </c>
      <c r="I3" s="73">
        <f t="shared" ref="I3:I8" si="4">(F3*G3)/2</f>
        <v>5593.75</v>
      </c>
      <c r="J3" s="36" t="str">
        <f>IF(H3&lt;C14,(IF((I3&lt;D14),B14,B13)),IF(H3&gt;C13,"NÃO PASSA",B13))</f>
        <v>NÃO PASSA</v>
      </c>
      <c r="K3" s="37" t="s">
        <v>2</v>
      </c>
      <c r="L3" s="90">
        <v>500</v>
      </c>
      <c r="N3" s="73">
        <f>IFERROR((C3+E3)*G3/2+(0.5*D3*G3^2+$P$1)/G3,0)</f>
        <v>5593.75</v>
      </c>
      <c r="O3" s="102">
        <f>N3/F3</f>
        <v>6.25</v>
      </c>
      <c r="P3" s="103">
        <f>N3*O3-0.5*F3*O3^2-$P$1</f>
        <v>17480.46875</v>
      </c>
      <c r="Q3" s="104">
        <f>0.68*(10*$L$6/1.4)*U3*V3/(10*500/1.15)</f>
        <v>0</v>
      </c>
      <c r="R3" s="105">
        <f>IFERROR(Q3*0.8*(G3/4)/G3,0)</f>
        <v>0</v>
      </c>
      <c r="T3" s="99">
        <f>B3+$L$5-3</f>
        <v>17</v>
      </c>
      <c r="U3" s="87">
        <f>(2*3+24.4)/1.25</f>
        <v>24.32</v>
      </c>
      <c r="V3" s="87">
        <f>1.25*T3*(1-(1-(1.4*$P$1*100)/(0.425*(10*$L$6/1.4)*U3*T3^2))^0.5)</f>
        <v>0</v>
      </c>
    </row>
    <row r="4" spans="2:22" x14ac:dyDescent="0.25">
      <c r="B4" s="40">
        <v>20</v>
      </c>
      <c r="C4" s="41">
        <v>285</v>
      </c>
      <c r="D4" s="42">
        <f t="shared" si="0"/>
        <v>500</v>
      </c>
      <c r="E4" s="41">
        <f t="shared" si="1"/>
        <v>150</v>
      </c>
      <c r="F4" s="41">
        <f t="shared" ref="F4:F7" si="5">C4+D4+E4</f>
        <v>935</v>
      </c>
      <c r="G4" s="92">
        <f t="shared" si="2"/>
        <v>12.5</v>
      </c>
      <c r="H4" s="74">
        <f t="shared" si="3"/>
        <v>18261.71875</v>
      </c>
      <c r="I4" s="75">
        <f t="shared" si="4"/>
        <v>5843.75</v>
      </c>
      <c r="J4" s="43" t="str">
        <f>IF(E22=TRUE,B23,IF(E21=TRUE,B22,IF(E20=TRUE,B21,"NÃO PASSA")))</f>
        <v>NÃO PASSA</v>
      </c>
      <c r="K4" s="37" t="s">
        <v>7</v>
      </c>
      <c r="L4" s="88">
        <v>12.5</v>
      </c>
      <c r="N4" s="75">
        <f t="shared" ref="N4:N8" si="6">IFERROR((C4+E4)*G4/2+(0.5*D4*G4^2+$P$1)/G4,0)</f>
        <v>5843.75</v>
      </c>
      <c r="O4" s="92">
        <f t="shared" ref="O4:O8" si="7">N4/F4</f>
        <v>6.25</v>
      </c>
      <c r="P4" s="74">
        <f t="shared" ref="P4:P8" si="8">N4*O4-0.5*F4*O4^2-$P$1</f>
        <v>18261.71875</v>
      </c>
      <c r="Q4" s="100">
        <f t="shared" ref="Q4:Q8" si="9">0.68*(10*$L$6/1.4)*U4*V4/(10*500/1.15)</f>
        <v>0</v>
      </c>
      <c r="R4" s="101">
        <f>IFERROR(Q4*0.8*(G4/4)/G4,)</f>
        <v>0</v>
      </c>
      <c r="T4" s="99">
        <f t="shared" ref="T4:T8" si="10">B4+$L$5-3</f>
        <v>22</v>
      </c>
      <c r="U4" s="87">
        <f>(2*5.4+5*3.4)/1.25</f>
        <v>22.240000000000002</v>
      </c>
      <c r="V4" s="87">
        <f t="shared" ref="V4:V8" si="11">1.25*T4*(1-(1-(1.4*$P$1*100)/(0.425*(10*$L$6/1.4)*U4*T4^2))^0.5)</f>
        <v>0</v>
      </c>
    </row>
    <row r="5" spans="2:22" x14ac:dyDescent="0.25">
      <c r="B5" s="44">
        <v>26.5</v>
      </c>
      <c r="C5" s="35">
        <v>370</v>
      </c>
      <c r="D5" s="35">
        <f t="shared" si="0"/>
        <v>500</v>
      </c>
      <c r="E5" s="34">
        <f t="shared" si="1"/>
        <v>150</v>
      </c>
      <c r="F5" s="35">
        <f t="shared" si="5"/>
        <v>1020</v>
      </c>
      <c r="G5" s="93">
        <f t="shared" si="2"/>
        <v>12.5</v>
      </c>
      <c r="H5" s="76">
        <f>(F5*G5^2)/8</f>
        <v>19921.875</v>
      </c>
      <c r="I5" s="77">
        <f t="shared" si="4"/>
        <v>6375</v>
      </c>
      <c r="J5" s="45" t="str">
        <f>IF(I15=TRUE,F15,IF(I14=TRUE,F14,IF(I13=TRUE,F13,"NÃO PASSA")))</f>
        <v>10 x 12,7mm</v>
      </c>
      <c r="K5" s="37" t="s">
        <v>3</v>
      </c>
      <c r="L5" s="89">
        <v>5</v>
      </c>
      <c r="N5" s="77">
        <f t="shared" si="6"/>
        <v>6375</v>
      </c>
      <c r="O5" s="93">
        <f t="shared" si="7"/>
        <v>6.25</v>
      </c>
      <c r="P5" s="76">
        <f t="shared" si="8"/>
        <v>19921.875</v>
      </c>
      <c r="Q5" s="100">
        <f t="shared" si="9"/>
        <v>0</v>
      </c>
      <c r="R5" s="101">
        <f t="shared" ref="R5:R8" si="12">IFERROR(Q5*0.8*(G5/4)/G5,)</f>
        <v>0</v>
      </c>
      <c r="T5" s="99">
        <f t="shared" si="10"/>
        <v>28.5</v>
      </c>
      <c r="U5" s="87">
        <f>(2*6.3+4*3.9)/1.25</f>
        <v>22.56</v>
      </c>
      <c r="V5" s="87">
        <f t="shared" si="11"/>
        <v>0</v>
      </c>
    </row>
    <row r="6" spans="2:22" x14ac:dyDescent="0.25">
      <c r="B6" s="40">
        <v>32</v>
      </c>
      <c r="C6" s="41">
        <v>410</v>
      </c>
      <c r="D6" s="41">
        <f t="shared" si="0"/>
        <v>500</v>
      </c>
      <c r="E6" s="41">
        <f t="shared" si="1"/>
        <v>150</v>
      </c>
      <c r="F6" s="41">
        <f t="shared" si="5"/>
        <v>1060</v>
      </c>
      <c r="G6" s="92">
        <f t="shared" si="2"/>
        <v>12.5</v>
      </c>
      <c r="H6" s="78">
        <f t="shared" si="3"/>
        <v>20703.125</v>
      </c>
      <c r="I6" s="75">
        <f t="shared" si="4"/>
        <v>6625</v>
      </c>
      <c r="J6" s="43" t="str">
        <f>IF(I28=TRUE,F28,IF(I26=TRUE,F26,IF(I24=TRUE,F24,"NÃO PASSA")))</f>
        <v>9 x 12,7mm</v>
      </c>
      <c r="K6" s="37" t="s">
        <v>167</v>
      </c>
      <c r="L6" s="89">
        <v>40</v>
      </c>
      <c r="N6" s="75">
        <f t="shared" si="6"/>
        <v>6625</v>
      </c>
      <c r="O6" s="92">
        <f t="shared" si="7"/>
        <v>6.25</v>
      </c>
      <c r="P6" s="78">
        <f t="shared" si="8"/>
        <v>20703.125</v>
      </c>
      <c r="Q6" s="100">
        <f t="shared" si="9"/>
        <v>0</v>
      </c>
      <c r="R6" s="101">
        <f t="shared" si="12"/>
        <v>0</v>
      </c>
      <c r="T6" s="99">
        <f t="shared" si="10"/>
        <v>34</v>
      </c>
      <c r="U6" s="87">
        <f>(2*6.15+3*5.4)/1.25</f>
        <v>22.800000000000004</v>
      </c>
      <c r="V6" s="87">
        <f t="shared" si="11"/>
        <v>0</v>
      </c>
    </row>
    <row r="7" spans="2:22" x14ac:dyDescent="0.25">
      <c r="B7" s="44">
        <v>40</v>
      </c>
      <c r="C7" s="35">
        <v>470</v>
      </c>
      <c r="D7" s="35">
        <f t="shared" si="0"/>
        <v>500</v>
      </c>
      <c r="E7" s="34">
        <f t="shared" si="1"/>
        <v>150</v>
      </c>
      <c r="F7" s="35">
        <f t="shared" si="5"/>
        <v>1120</v>
      </c>
      <c r="G7" s="93">
        <f t="shared" si="2"/>
        <v>12.5</v>
      </c>
      <c r="H7" s="76">
        <f t="shared" si="3"/>
        <v>21875</v>
      </c>
      <c r="I7" s="77">
        <f t="shared" si="4"/>
        <v>7000</v>
      </c>
      <c r="J7" s="45" t="str">
        <f>IF(M15=TRUE,J15,IF(M14=TRUE,J14,IF(M13=TRUE,J13,"NÃO PASSA")))</f>
        <v>11 x 12,7mm</v>
      </c>
      <c r="N7" s="77">
        <f t="shared" si="6"/>
        <v>7000</v>
      </c>
      <c r="O7" s="93">
        <f t="shared" si="7"/>
        <v>6.25</v>
      </c>
      <c r="P7" s="76">
        <f t="shared" si="8"/>
        <v>21875</v>
      </c>
      <c r="Q7" s="100">
        <f t="shared" si="9"/>
        <v>0</v>
      </c>
      <c r="R7" s="101">
        <f t="shared" si="12"/>
        <v>0</v>
      </c>
      <c r="T7" s="99">
        <f t="shared" si="10"/>
        <v>42</v>
      </c>
      <c r="U7" s="87">
        <f>(2*7.9+3*5)/1.25</f>
        <v>24.64</v>
      </c>
      <c r="V7" s="87">
        <f t="shared" si="11"/>
        <v>0</v>
      </c>
    </row>
    <row r="8" spans="2:22" ht="15.75" thickBot="1" x14ac:dyDescent="0.3">
      <c r="B8" s="46">
        <v>50</v>
      </c>
      <c r="C8" s="47">
        <v>650</v>
      </c>
      <c r="D8" s="48">
        <f t="shared" si="0"/>
        <v>500</v>
      </c>
      <c r="E8" s="48">
        <f t="shared" si="1"/>
        <v>150</v>
      </c>
      <c r="F8" s="47">
        <f>C8+D8+E8</f>
        <v>1300</v>
      </c>
      <c r="G8" s="94">
        <f t="shared" si="2"/>
        <v>12.5</v>
      </c>
      <c r="H8" s="79">
        <f t="shared" si="3"/>
        <v>25390.625</v>
      </c>
      <c r="I8" s="80">
        <f t="shared" si="4"/>
        <v>8125</v>
      </c>
      <c r="J8" s="49" t="str">
        <f>IF(M27=TRUE,J27,IF(M26=TRUE,J26,IF(M25=TRUE,J25,"NÃO PASSA")))</f>
        <v>11 x 12,7mm</v>
      </c>
      <c r="N8" s="80">
        <f t="shared" si="6"/>
        <v>8125</v>
      </c>
      <c r="O8" s="94">
        <f t="shared" si="7"/>
        <v>6.25</v>
      </c>
      <c r="P8" s="79">
        <f t="shared" si="8"/>
        <v>25390.625</v>
      </c>
      <c r="Q8" s="106">
        <f t="shared" si="9"/>
        <v>0</v>
      </c>
      <c r="R8" s="107">
        <f t="shared" si="12"/>
        <v>0</v>
      </c>
      <c r="T8" s="99">
        <f t="shared" si="10"/>
        <v>52</v>
      </c>
      <c r="U8" s="87">
        <f>(2*10.2+3*6.8)/1.25</f>
        <v>32.64</v>
      </c>
      <c r="V8" s="87">
        <f t="shared" si="11"/>
        <v>0</v>
      </c>
    </row>
    <row r="9" spans="2:22" ht="15.75" thickBot="1" x14ac:dyDescent="0.3">
      <c r="B9" s="51"/>
      <c r="C9" s="52"/>
      <c r="D9" s="52"/>
      <c r="E9" s="52">
        <f>C3+E3</f>
        <v>395</v>
      </c>
      <c r="F9" s="52"/>
      <c r="G9" s="52"/>
      <c r="H9" s="52"/>
      <c r="I9" s="53"/>
    </row>
    <row r="10" spans="2:22" ht="15.75" thickBot="1" x14ac:dyDescent="0.3">
      <c r="B10" s="54" t="s">
        <v>8</v>
      </c>
      <c r="C10" s="119" t="s">
        <v>12</v>
      </c>
      <c r="D10" s="120"/>
      <c r="E10" s="55"/>
      <c r="F10" s="54" t="s">
        <v>13</v>
      </c>
      <c r="G10" s="117" t="s">
        <v>12</v>
      </c>
      <c r="H10" s="118"/>
      <c r="I10" s="55"/>
      <c r="J10" s="54" t="s">
        <v>28</v>
      </c>
      <c r="K10" s="117" t="s">
        <v>12</v>
      </c>
      <c r="L10" s="118"/>
      <c r="N10" s="31" t="s">
        <v>148</v>
      </c>
      <c r="O10" s="32">
        <v>0</v>
      </c>
    </row>
    <row r="11" spans="2:22" ht="15.75" thickBot="1" x14ac:dyDescent="0.3">
      <c r="B11" s="111" t="s">
        <v>34</v>
      </c>
      <c r="C11" s="112"/>
      <c r="D11" s="113"/>
      <c r="E11" s="55"/>
      <c r="F11" s="111" t="s">
        <v>36</v>
      </c>
      <c r="G11" s="112"/>
      <c r="H11" s="113"/>
      <c r="I11" s="55"/>
      <c r="J11" s="111" t="s">
        <v>37</v>
      </c>
      <c r="K11" s="112"/>
      <c r="L11" s="113"/>
      <c r="N11" s="38" t="s">
        <v>141</v>
      </c>
      <c r="O11" s="39">
        <f t="shared" ref="O11:O16" si="13">(1.3*C3*O$10)/25000</f>
        <v>0</v>
      </c>
    </row>
    <row r="12" spans="2:22" x14ac:dyDescent="0.25">
      <c r="B12" s="37" t="s">
        <v>155</v>
      </c>
      <c r="C12" s="37" t="s">
        <v>9</v>
      </c>
      <c r="D12" s="37" t="s">
        <v>10</v>
      </c>
      <c r="F12" s="37" t="s">
        <v>155</v>
      </c>
      <c r="G12" s="37" t="s">
        <v>9</v>
      </c>
      <c r="H12" s="37" t="s">
        <v>10</v>
      </c>
      <c r="J12" s="37" t="s">
        <v>155</v>
      </c>
      <c r="K12" s="37" t="s">
        <v>9</v>
      </c>
      <c r="L12" s="37" t="s">
        <v>10</v>
      </c>
      <c r="N12" s="38" t="s">
        <v>142</v>
      </c>
      <c r="O12" s="39">
        <f t="shared" si="13"/>
        <v>0</v>
      </c>
    </row>
    <row r="13" spans="2:22" x14ac:dyDescent="0.25">
      <c r="B13" s="83" t="s">
        <v>14</v>
      </c>
      <c r="C13" s="81">
        <v>6490</v>
      </c>
      <c r="D13" s="81">
        <v>6000</v>
      </c>
      <c r="F13" s="83" t="s">
        <v>19</v>
      </c>
      <c r="G13" s="81">
        <v>21850</v>
      </c>
      <c r="H13" s="81">
        <v>7879</v>
      </c>
      <c r="I13" s="57" t="b">
        <f>AND(G13&gt;=$H$5,H13&gt;=$I$5,$C$47&gt;=$G$5)</f>
        <v>1</v>
      </c>
      <c r="J13" s="83" t="s">
        <v>29</v>
      </c>
      <c r="K13" s="81">
        <v>44230</v>
      </c>
      <c r="L13" s="81">
        <v>12514</v>
      </c>
      <c r="M13" s="57" t="b">
        <f>AND(K13&gt;=$H$7,L13&gt;=$I$7,$C$49&gt;=$G$7)</f>
        <v>1</v>
      </c>
      <c r="N13" s="38" t="s">
        <v>143</v>
      </c>
      <c r="O13" s="39">
        <f t="shared" si="13"/>
        <v>0</v>
      </c>
      <c r="P13" s="57"/>
      <c r="Q13" s="57"/>
    </row>
    <row r="14" spans="2:22" x14ac:dyDescent="0.25">
      <c r="B14" s="83" t="s">
        <v>15</v>
      </c>
      <c r="C14" s="81">
        <v>5180</v>
      </c>
      <c r="D14" s="81">
        <v>5254</v>
      </c>
      <c r="F14" s="83" t="s">
        <v>20</v>
      </c>
      <c r="G14" s="81">
        <v>17950</v>
      </c>
      <c r="H14" s="81">
        <v>6900</v>
      </c>
      <c r="I14" s="57" t="b">
        <f>AND(G14&gt;=$H$5,H14&gt;=$I$5,$C$47&gt;=$G$5)</f>
        <v>0</v>
      </c>
      <c r="J14" s="83" t="s">
        <v>30</v>
      </c>
      <c r="K14" s="81">
        <v>41340</v>
      </c>
      <c r="L14" s="81">
        <v>11915</v>
      </c>
      <c r="M14" s="57" t="b">
        <f>AND(K14&gt;=$H$7,L14&gt;=$I$7,$C$49&gt;=$G$7)</f>
        <v>1</v>
      </c>
      <c r="N14" s="38" t="s">
        <v>144</v>
      </c>
      <c r="O14" s="39">
        <f t="shared" si="13"/>
        <v>0</v>
      </c>
      <c r="P14" s="57"/>
      <c r="Q14" s="57"/>
    </row>
    <row r="15" spans="2:22" x14ac:dyDescent="0.25">
      <c r="B15" s="84" t="s">
        <v>16</v>
      </c>
      <c r="C15" s="82">
        <v>3760</v>
      </c>
      <c r="D15" s="82">
        <v>4509</v>
      </c>
      <c r="F15" s="83" t="s">
        <v>21</v>
      </c>
      <c r="G15" s="81">
        <v>13700</v>
      </c>
      <c r="H15" s="81">
        <v>5921</v>
      </c>
      <c r="I15" s="57" t="b">
        <f>AND(G15&gt;=$H$5,H15&gt;=$I$5,$C$47&gt;=$G$5)</f>
        <v>0</v>
      </c>
      <c r="J15" s="83" t="s">
        <v>26</v>
      </c>
      <c r="K15" s="81">
        <v>35400</v>
      </c>
      <c r="L15" s="81">
        <v>10717</v>
      </c>
      <c r="M15" s="57" t="b">
        <f>AND(K15&gt;=$H$7,L15&gt;=$I$7,$C$49&gt;=$G$7)</f>
        <v>1</v>
      </c>
      <c r="N15" s="38" t="s">
        <v>145</v>
      </c>
      <c r="O15" s="39">
        <f t="shared" si="13"/>
        <v>0</v>
      </c>
      <c r="P15" s="57"/>
      <c r="Q15" s="57"/>
    </row>
    <row r="16" spans="2:22" x14ac:dyDescent="0.25">
      <c r="F16" s="83" t="s">
        <v>22</v>
      </c>
      <c r="G16" s="81">
        <v>9040</v>
      </c>
      <c r="H16" s="81">
        <v>4941</v>
      </c>
      <c r="J16" s="83" t="s">
        <v>19</v>
      </c>
      <c r="K16" s="81">
        <v>32490</v>
      </c>
      <c r="L16" s="81">
        <v>10118</v>
      </c>
      <c r="M16" s="57"/>
      <c r="N16" s="38" t="s">
        <v>146</v>
      </c>
      <c r="O16" s="50">
        <f t="shared" si="13"/>
        <v>0</v>
      </c>
      <c r="P16" s="57"/>
      <c r="Q16" s="57"/>
    </row>
    <row r="17" spans="2:17" ht="15.75" thickBot="1" x14ac:dyDescent="0.3">
      <c r="F17" s="83" t="s">
        <v>23</v>
      </c>
      <c r="G17" s="81">
        <v>7470</v>
      </c>
      <c r="H17" s="81">
        <v>4608</v>
      </c>
      <c r="J17" s="83" t="s">
        <v>27</v>
      </c>
      <c r="K17" s="81">
        <v>29670</v>
      </c>
      <c r="L17" s="81">
        <v>9519</v>
      </c>
      <c r="M17" s="57" t="b">
        <f>AND(K17&gt;=$H$7,L17&gt;=$I$7,$C$49&gt;=$G$7)</f>
        <v>1</v>
      </c>
      <c r="P17" s="57"/>
      <c r="Q17" s="57"/>
    </row>
    <row r="18" spans="2:17" ht="15.75" thickBot="1" x14ac:dyDescent="0.3">
      <c r="B18" s="54" t="s">
        <v>11</v>
      </c>
      <c r="C18" s="119" t="s">
        <v>12</v>
      </c>
      <c r="D18" s="120"/>
      <c r="F18" s="83" t="s">
        <v>24</v>
      </c>
      <c r="G18" s="81">
        <v>5040</v>
      </c>
      <c r="H18" s="81">
        <v>4066</v>
      </c>
      <c r="J18" s="83" t="s">
        <v>20</v>
      </c>
      <c r="K18" s="81">
        <v>26580</v>
      </c>
      <c r="L18" s="81">
        <v>8920</v>
      </c>
      <c r="M18" s="57" t="b">
        <f>AND(K18&gt;=$H$7,L18&gt;=$I$7,$C$49&gt;=$G$7)</f>
        <v>1</v>
      </c>
      <c r="N18" s="116" t="s">
        <v>154</v>
      </c>
      <c r="O18" s="116"/>
      <c r="P18" s="57"/>
      <c r="Q18" s="57"/>
    </row>
    <row r="19" spans="2:17" ht="15.75" thickBot="1" x14ac:dyDescent="0.3">
      <c r="B19" s="111" t="s">
        <v>35</v>
      </c>
      <c r="C19" s="112"/>
      <c r="D19" s="113"/>
      <c r="F19" s="58"/>
      <c r="G19" s="58"/>
      <c r="H19" s="58"/>
      <c r="J19" s="83" t="s">
        <v>17</v>
      </c>
      <c r="K19" s="81">
        <v>23200</v>
      </c>
      <c r="L19" s="81">
        <v>8321</v>
      </c>
      <c r="M19" s="57" t="b">
        <f>AND(K19&gt;=$H$7,L19&gt;=$I$7,$C$49&gt;=$G$7)</f>
        <v>1</v>
      </c>
      <c r="N19" s="38" t="s">
        <v>156</v>
      </c>
      <c r="O19" s="56">
        <v>150</v>
      </c>
    </row>
    <row r="20" spans="2:17" ht="15.75" thickBot="1" x14ac:dyDescent="0.3">
      <c r="B20" s="37" t="s">
        <v>155</v>
      </c>
      <c r="C20" s="37" t="s">
        <v>9</v>
      </c>
      <c r="D20" s="37" t="s">
        <v>10</v>
      </c>
      <c r="E20" s="57" t="b">
        <f>AND(C21&gt;=$H$4,D21&gt;=$I$4,$C$46&gt;=$G$4)</f>
        <v>0</v>
      </c>
      <c r="F20" s="53"/>
      <c r="G20" s="59"/>
      <c r="J20" s="83" t="s">
        <v>18</v>
      </c>
      <c r="K20" s="81">
        <v>17000</v>
      </c>
      <c r="L20" s="81">
        <v>7122</v>
      </c>
      <c r="M20" s="57" t="b">
        <f>AND(K20&gt;=$H$7,L20&gt;=$I$7,$C$49&gt;=$G$7)</f>
        <v>0</v>
      </c>
      <c r="N20" s="38" t="s">
        <v>3</v>
      </c>
      <c r="O20" s="56">
        <v>5</v>
      </c>
    </row>
    <row r="21" spans="2:17" ht="15.75" customHeight="1" thickBot="1" x14ac:dyDescent="0.3">
      <c r="B21" s="83" t="s">
        <v>17</v>
      </c>
      <c r="C21" s="81">
        <v>11900</v>
      </c>
      <c r="D21" s="81">
        <v>6087</v>
      </c>
      <c r="E21" s="57" t="b">
        <f>AND(C22&gt;=$H$4,D22&gt;=$I$4,$C$46&gt;=$G$4)</f>
        <v>0</v>
      </c>
      <c r="F21" s="54" t="s">
        <v>25</v>
      </c>
      <c r="G21" s="117" t="s">
        <v>12</v>
      </c>
      <c r="H21" s="118"/>
      <c r="N21" s="38" t="s">
        <v>141</v>
      </c>
      <c r="O21" s="85">
        <f>IF((($C$13*8)/(C3+$O$19+(($O$20+1)/100)*2500))^0.5&gt;$D$13*2/(C3+(($O$20+1)/100)*2500+$O$19),$D$13*2/(C3+(($O$20+1)/100)*2500+$O$19),(($C$13*8)/(C3+$O$19+(($O$20+1)/100)*2500))^0.5)</f>
        <v>9.7604331382306775</v>
      </c>
    </row>
    <row r="22" spans="2:17" ht="15.75" customHeight="1" thickBot="1" x14ac:dyDescent="0.3">
      <c r="B22" s="83" t="s">
        <v>18</v>
      </c>
      <c r="C22" s="81">
        <v>8850</v>
      </c>
      <c r="D22" s="81">
        <v>5023</v>
      </c>
      <c r="E22" s="57" t="b">
        <f>AND(C23&gt;=$H$4,D23&gt;=$I$4,$C$46&gt;=$G$4)</f>
        <v>0</v>
      </c>
      <c r="F22" s="111" t="s">
        <v>38</v>
      </c>
      <c r="G22" s="112"/>
      <c r="H22" s="113"/>
      <c r="J22" s="54" t="s">
        <v>39</v>
      </c>
      <c r="K22" s="117" t="s">
        <v>12</v>
      </c>
      <c r="L22" s="118"/>
      <c r="N22" s="38" t="s">
        <v>142</v>
      </c>
      <c r="O22" s="85">
        <f>IF((($C$21*8)/(C4+$O$19+(($O$20+1)/100)*2500))^0.5&gt;$D$21*2/(C4+(($O$20+1)/100)*2500+$O$19),$D$21*2/(C4+(($O$20+1)/100)*2500+$O$19),(($C$21*8)/(C4+$O$19+(($O$20+1)/100)*2500))^0.5)</f>
        <v>12.756764587270657</v>
      </c>
    </row>
    <row r="23" spans="2:17" ht="15.75" thickBot="1" x14ac:dyDescent="0.3">
      <c r="B23" s="83" t="s">
        <v>15</v>
      </c>
      <c r="C23" s="81">
        <v>6930</v>
      </c>
      <c r="D23" s="81">
        <v>4425</v>
      </c>
      <c r="F23" s="37" t="s">
        <v>155</v>
      </c>
      <c r="G23" s="37" t="s">
        <v>9</v>
      </c>
      <c r="H23" s="37" t="s">
        <v>10</v>
      </c>
      <c r="J23" s="111" t="s">
        <v>37</v>
      </c>
      <c r="K23" s="112"/>
      <c r="L23" s="113"/>
      <c r="N23" s="38" t="s">
        <v>143</v>
      </c>
      <c r="O23" s="85">
        <f>IF((($G$13*8)/(C5+$O$19+(($O$20+1)/100)*2500))^0.5&gt;$H$13*2/(C5+(($O$20+1)/100)*2500+$O$19),$H$13*2/(C5+(($O$20+1)/100)*2500+$O$19),(($G$13*8)/(C5+$O$19+(($O$20+1)/100)*2500))^0.5)</f>
        <v>16.152260596834726</v>
      </c>
    </row>
    <row r="24" spans="2:17" x14ac:dyDescent="0.25">
      <c r="B24" s="84" t="s">
        <v>16</v>
      </c>
      <c r="C24" s="82">
        <v>4960</v>
      </c>
      <c r="D24" s="82">
        <v>3837</v>
      </c>
      <c r="F24" s="83" t="s">
        <v>26</v>
      </c>
      <c r="G24" s="81">
        <v>27950</v>
      </c>
      <c r="H24" s="81">
        <v>9756</v>
      </c>
      <c r="I24" s="57" t="b">
        <f t="shared" ref="I24:I29" si="14">AND(G24&gt;=$H$6,H24&gt;=$I$6,$C$48&gt;=$G$6)</f>
        <v>1</v>
      </c>
      <c r="J24" s="37" t="s">
        <v>155</v>
      </c>
      <c r="K24" s="37" t="s">
        <v>9</v>
      </c>
      <c r="L24" s="37" t="s">
        <v>10</v>
      </c>
      <c r="N24" s="38" t="s">
        <v>144</v>
      </c>
      <c r="O24" s="85">
        <f>IF((($G$24*8)/(C6+$O$19+(($O$20+1)/100)*2500))^0.5&gt;$H$24*2/(C6+(($O$20+1)/100)*2500+$O$19),$H$24*2/(C6+(($O$20+1)/100)*2500+$O$19),(($G$24*8)/(C6+$O$19+(($O$20+1)/100)*2500))^0.5)</f>
        <v>17.746255308227386</v>
      </c>
    </row>
    <row r="25" spans="2:17" x14ac:dyDescent="0.25">
      <c r="F25" s="83" t="s">
        <v>19</v>
      </c>
      <c r="G25" s="81">
        <v>25650</v>
      </c>
      <c r="H25" s="81">
        <v>9194</v>
      </c>
      <c r="I25" s="57" t="b">
        <f t="shared" si="14"/>
        <v>1</v>
      </c>
      <c r="J25" s="83" t="s">
        <v>29</v>
      </c>
      <c r="K25" s="81">
        <v>55820</v>
      </c>
      <c r="L25" s="81">
        <v>14697</v>
      </c>
      <c r="M25" s="57" t="b">
        <f>AND(K25&gt;=$H$8,L25&gt;=$I$8,$C$50&gt;=$G$8)</f>
        <v>1</v>
      </c>
      <c r="N25" s="38" t="s">
        <v>145</v>
      </c>
      <c r="O25" s="85">
        <f>IF((($K$13*8)/(C7+$O$19+(($O$20+1)/100)*2500))^0.5&gt;$L$13*2/(C7+(($O$20+1)/100)*2500+$O$19),$L$13*2/(C7+(($O$20+1)/100)*2500+$O$19),(($K$13*8)/(C7+$O$19+(($O$20+1)/100)*2500))^0.5)</f>
        <v>21.436708411798381</v>
      </c>
    </row>
    <row r="26" spans="2:17" x14ac:dyDescent="0.25">
      <c r="F26" s="83" t="s">
        <v>27</v>
      </c>
      <c r="G26" s="81">
        <v>23340</v>
      </c>
      <c r="H26" s="81">
        <v>8633</v>
      </c>
      <c r="I26" s="57" t="b">
        <f t="shared" si="14"/>
        <v>1</v>
      </c>
      <c r="J26" s="83" t="s">
        <v>30</v>
      </c>
      <c r="K26" s="81">
        <v>52430</v>
      </c>
      <c r="L26" s="81">
        <v>14078</v>
      </c>
      <c r="M26" s="57" t="b">
        <f>AND(K26&gt;=$H$8,L26&gt;=$I$8,$C$50&gt;=$G$8)</f>
        <v>1</v>
      </c>
      <c r="N26" s="38" t="s">
        <v>146</v>
      </c>
      <c r="O26" s="85">
        <f>IF((($K$25*8)/(C8+$O$19+(($O$20+1)/100)*2500))^0.5&gt;$L$25*2/(C8+(($O$20+1)/100)*2500+$O$19),$L$25*2/(C8+(($O$20+1)/100)*2500+$O$19),(($K$25*8)/(C8+$O$19+(($O$20+1)/100)*2500))^0.5)</f>
        <v>21.68093996797041</v>
      </c>
    </row>
    <row r="27" spans="2:17" x14ac:dyDescent="0.25">
      <c r="F27" s="83" t="s">
        <v>20</v>
      </c>
      <c r="G27" s="81">
        <v>20970</v>
      </c>
      <c r="H27" s="81">
        <v>8071</v>
      </c>
      <c r="I27" s="57" t="b">
        <f t="shared" si="14"/>
        <v>1</v>
      </c>
      <c r="J27" s="83" t="s">
        <v>26</v>
      </c>
      <c r="K27" s="81">
        <v>44840</v>
      </c>
      <c r="L27" s="81">
        <v>12838</v>
      </c>
      <c r="M27" s="57" t="b">
        <f>AND(K27&gt;=$H$8,L27&gt;=$I$8,$C$50&gt;=$G$8)</f>
        <v>1</v>
      </c>
    </row>
    <row r="28" spans="2:17" ht="15.75" customHeight="1" x14ac:dyDescent="0.25">
      <c r="F28" s="83" t="s">
        <v>17</v>
      </c>
      <c r="G28" s="81">
        <v>18600</v>
      </c>
      <c r="H28" s="81">
        <v>7509</v>
      </c>
      <c r="I28" s="57" t="b">
        <f t="shared" si="14"/>
        <v>0</v>
      </c>
      <c r="J28" s="83" t="s">
        <v>19</v>
      </c>
      <c r="K28" s="81">
        <v>40780</v>
      </c>
      <c r="L28" s="81">
        <v>12218</v>
      </c>
    </row>
    <row r="29" spans="2:17" ht="15.75" customHeight="1" x14ac:dyDescent="0.25">
      <c r="F29" s="83" t="s">
        <v>18</v>
      </c>
      <c r="G29" s="81">
        <v>13560</v>
      </c>
      <c r="H29" s="81">
        <v>6386</v>
      </c>
      <c r="I29" s="57" t="b">
        <f t="shared" si="14"/>
        <v>0</v>
      </c>
      <c r="J29" s="83" t="s">
        <v>27</v>
      </c>
      <c r="K29" s="81">
        <v>37030</v>
      </c>
      <c r="L29" s="81">
        <v>11599</v>
      </c>
    </row>
    <row r="30" spans="2:17" x14ac:dyDescent="0.25">
      <c r="J30" s="83" t="s">
        <v>20</v>
      </c>
      <c r="K30" s="81">
        <v>33270</v>
      </c>
      <c r="L30" s="81">
        <v>10979</v>
      </c>
    </row>
    <row r="31" spans="2:17" x14ac:dyDescent="0.25">
      <c r="J31" s="83" t="s">
        <v>17</v>
      </c>
      <c r="K31" s="81">
        <v>29110</v>
      </c>
      <c r="L31" s="81">
        <v>10359</v>
      </c>
    </row>
    <row r="32" spans="2:17" x14ac:dyDescent="0.25">
      <c r="E32" s="58"/>
      <c r="I32" s="58"/>
      <c r="J32" s="83" t="s">
        <v>18</v>
      </c>
      <c r="K32" s="81">
        <v>20980</v>
      </c>
      <c r="L32" s="81">
        <v>9119</v>
      </c>
    </row>
    <row r="33" spans="2:10" x14ac:dyDescent="0.25">
      <c r="E33" s="58"/>
      <c r="I33" s="58"/>
    </row>
    <row r="34" spans="2:10" x14ac:dyDescent="0.25">
      <c r="E34" s="58"/>
      <c r="I34" s="58"/>
      <c r="J34" s="58"/>
    </row>
    <row r="35" spans="2:10" ht="15.75" thickBot="1" x14ac:dyDescent="0.3">
      <c r="E35" s="66"/>
      <c r="I35" s="58"/>
      <c r="J35" s="58"/>
    </row>
    <row r="36" spans="2:10" x14ac:dyDescent="0.25">
      <c r="B36" s="125" t="s">
        <v>31</v>
      </c>
      <c r="C36" s="126"/>
      <c r="D36" s="62"/>
      <c r="E36" s="67"/>
      <c r="I36" s="58"/>
      <c r="J36" s="58"/>
    </row>
    <row r="37" spans="2:10" x14ac:dyDescent="0.25">
      <c r="B37" s="37"/>
      <c r="C37" s="37"/>
      <c r="D37" s="62"/>
      <c r="E37" s="67"/>
      <c r="I37" s="58"/>
    </row>
    <row r="38" spans="2:10" ht="30" x14ac:dyDescent="0.25">
      <c r="B38" s="37" t="s">
        <v>32</v>
      </c>
      <c r="C38" s="37">
        <v>13000</v>
      </c>
      <c r="I38" s="58"/>
      <c r="J38" s="58"/>
    </row>
    <row r="39" spans="2:10" x14ac:dyDescent="0.25">
      <c r="B39" s="37" t="s">
        <v>33</v>
      </c>
      <c r="C39" s="108">
        <f>H24</f>
        <v>9756</v>
      </c>
      <c r="D39" s="62"/>
      <c r="E39" s="67">
        <v>9.6500000000000002E-2</v>
      </c>
      <c r="I39" s="58"/>
      <c r="J39" s="58"/>
    </row>
    <row r="40" spans="2:10" x14ac:dyDescent="0.25">
      <c r="B40" s="37" t="s">
        <v>149</v>
      </c>
      <c r="C40" s="37">
        <v>7.2</v>
      </c>
      <c r="D40" s="62"/>
      <c r="E40" s="67">
        <f>E39*C42</f>
        <v>8.668966153846154E-2</v>
      </c>
      <c r="I40" s="58"/>
      <c r="J40" s="58"/>
    </row>
    <row r="41" spans="2:10" x14ac:dyDescent="0.25">
      <c r="B41" s="60" t="s">
        <v>151</v>
      </c>
      <c r="C41" s="60">
        <f>(C39*(C40*0.5))/C38</f>
        <v>2.7016615384615386</v>
      </c>
      <c r="D41" s="62"/>
      <c r="E41" s="67">
        <f>E40*2</f>
        <v>0.17337932307692308</v>
      </c>
      <c r="I41" s="58"/>
      <c r="J41" s="58"/>
    </row>
    <row r="42" spans="2:10" x14ac:dyDescent="0.25">
      <c r="B42" s="61" t="s">
        <v>150</v>
      </c>
      <c r="C42" s="61">
        <f>C40*0.5-C41</f>
        <v>0.89833846153846153</v>
      </c>
      <c r="D42" s="62"/>
      <c r="E42" s="67">
        <f>E41*5</f>
        <v>0.86689661538461538</v>
      </c>
      <c r="I42" s="58"/>
      <c r="J42" s="58"/>
    </row>
    <row r="43" spans="2:10" x14ac:dyDescent="0.25">
      <c r="C43" s="30" t="s">
        <v>139</v>
      </c>
      <c r="H43" s="69"/>
      <c r="I43" s="58"/>
      <c r="J43" s="58"/>
    </row>
    <row r="44" spans="2:10" ht="30" x14ac:dyDescent="0.25">
      <c r="B44" s="63" t="s">
        <v>0</v>
      </c>
      <c r="C44" s="63" t="s">
        <v>147</v>
      </c>
      <c r="D44" s="62"/>
      <c r="E44" s="67"/>
      <c r="F44" s="68"/>
      <c r="G44" s="68"/>
      <c r="H44" s="69"/>
      <c r="I44" s="58"/>
      <c r="J44" s="58"/>
    </row>
    <row r="45" spans="2:10" x14ac:dyDescent="0.25">
      <c r="B45" s="64" t="s">
        <v>141</v>
      </c>
      <c r="C45" s="64">
        <v>9.5</v>
      </c>
      <c r="D45" s="62"/>
      <c r="E45" s="67"/>
      <c r="F45" s="67"/>
      <c r="G45" s="67"/>
      <c r="H45" s="69"/>
      <c r="I45" s="58"/>
      <c r="J45" s="58"/>
    </row>
    <row r="46" spans="2:10" x14ac:dyDescent="0.25">
      <c r="B46" s="65" t="s">
        <v>142</v>
      </c>
      <c r="C46" s="65">
        <v>12</v>
      </c>
      <c r="D46" s="62"/>
      <c r="E46" s="67"/>
      <c r="F46" s="67"/>
      <c r="G46" s="67"/>
      <c r="H46" s="69"/>
      <c r="I46" s="58"/>
      <c r="J46" s="58"/>
    </row>
    <row r="47" spans="2:10" x14ac:dyDescent="0.25">
      <c r="B47" s="65" t="s">
        <v>143</v>
      </c>
      <c r="C47" s="65">
        <v>15</v>
      </c>
      <c r="D47" s="62"/>
      <c r="E47" s="67"/>
      <c r="F47" s="67"/>
      <c r="G47" s="67"/>
      <c r="H47" s="69"/>
      <c r="I47" s="58"/>
      <c r="J47" s="58"/>
    </row>
    <row r="48" spans="2:10" x14ac:dyDescent="0.25">
      <c r="B48" s="65" t="s">
        <v>144</v>
      </c>
      <c r="C48" s="65">
        <v>16</v>
      </c>
      <c r="D48" s="62"/>
      <c r="E48" s="71"/>
      <c r="F48" s="67"/>
      <c r="G48" s="67"/>
      <c r="H48" s="69"/>
      <c r="I48" s="58"/>
      <c r="J48" s="58"/>
    </row>
    <row r="49" spans="2:10" x14ac:dyDescent="0.25">
      <c r="B49" s="65" t="s">
        <v>145</v>
      </c>
      <c r="C49" s="65">
        <v>17</v>
      </c>
      <c r="D49" s="62"/>
      <c r="E49" s="71"/>
      <c r="F49" s="67"/>
      <c r="G49" s="67"/>
      <c r="H49" s="69"/>
      <c r="I49" s="58"/>
      <c r="J49" s="58"/>
    </row>
    <row r="50" spans="2:10" x14ac:dyDescent="0.25">
      <c r="B50" s="70" t="s">
        <v>146</v>
      </c>
      <c r="C50" s="70">
        <v>17</v>
      </c>
      <c r="D50" s="62"/>
      <c r="F50" s="67"/>
      <c r="H50" s="69"/>
      <c r="I50" s="58"/>
      <c r="J50" s="58"/>
    </row>
    <row r="51" spans="2:10" x14ac:dyDescent="0.25">
      <c r="B51" s="62"/>
      <c r="C51" s="62"/>
      <c r="D51" s="62"/>
      <c r="E51" s="58"/>
      <c r="F51" s="58"/>
      <c r="G51" s="58"/>
      <c r="H51" s="58"/>
      <c r="I51" s="58"/>
      <c r="J51" s="58"/>
    </row>
    <row r="52" spans="2:10" x14ac:dyDescent="0.25">
      <c r="B52" s="62"/>
      <c r="C52" s="62"/>
      <c r="D52" s="62"/>
      <c r="E52" s="58"/>
      <c r="F52" s="58"/>
      <c r="G52" s="58"/>
      <c r="H52" s="58"/>
      <c r="I52" s="58"/>
      <c r="J52" s="58"/>
    </row>
    <row r="53" spans="2:10" x14ac:dyDescent="0.25">
      <c r="B53" s="58"/>
      <c r="C53" s="58"/>
      <c r="D53" s="58"/>
      <c r="E53" s="58"/>
      <c r="F53" s="58"/>
      <c r="G53" s="58"/>
      <c r="H53" s="58"/>
      <c r="I53" s="58"/>
      <c r="J53" s="58"/>
    </row>
    <row r="54" spans="2:10" x14ac:dyDescent="0.25">
      <c r="B54" s="58"/>
      <c r="C54" s="58"/>
      <c r="D54" s="58"/>
      <c r="E54" s="58"/>
      <c r="F54" s="58"/>
      <c r="G54" s="58"/>
      <c r="H54" s="58"/>
      <c r="I54" s="58"/>
      <c r="J54" s="58"/>
    </row>
    <row r="55" spans="2:10" x14ac:dyDescent="0.25">
      <c r="B55" s="58"/>
      <c r="C55" s="58"/>
      <c r="D55" s="58"/>
      <c r="E55" s="58"/>
      <c r="F55" s="58"/>
      <c r="G55" s="58"/>
      <c r="H55" s="58"/>
      <c r="I55" s="58"/>
      <c r="J55" s="58"/>
    </row>
    <row r="56" spans="2:10" x14ac:dyDescent="0.25">
      <c r="B56" s="58"/>
      <c r="C56" s="58"/>
      <c r="D56" s="58"/>
      <c r="E56" s="58"/>
      <c r="F56" s="58"/>
      <c r="G56" s="58"/>
      <c r="H56" s="58"/>
      <c r="I56" s="58"/>
      <c r="J56" s="58"/>
    </row>
  </sheetData>
  <sheetProtection insertHyperlinks="0"/>
  <dataConsolidate/>
  <mergeCells count="27">
    <mergeCell ref="F1:F2"/>
    <mergeCell ref="K1:L1"/>
    <mergeCell ref="K2:L2"/>
    <mergeCell ref="K10:L10"/>
    <mergeCell ref="N1:O1"/>
    <mergeCell ref="G1:G2"/>
    <mergeCell ref="G10:H10"/>
    <mergeCell ref="J1:J2"/>
    <mergeCell ref="B36:C36"/>
    <mergeCell ref="C18:D18"/>
    <mergeCell ref="B11:D11"/>
    <mergeCell ref="B19:D19"/>
    <mergeCell ref="F11:H11"/>
    <mergeCell ref="G21:H21"/>
    <mergeCell ref="F22:H22"/>
    <mergeCell ref="C10:D10"/>
    <mergeCell ref="B1:B2"/>
    <mergeCell ref="C1:C2"/>
    <mergeCell ref="D1:D2"/>
    <mergeCell ref="E1:E2"/>
    <mergeCell ref="R1:R2"/>
    <mergeCell ref="J23:L23"/>
    <mergeCell ref="J11:L11"/>
    <mergeCell ref="H1:H2"/>
    <mergeCell ref="I1:I2"/>
    <mergeCell ref="N18:O18"/>
    <mergeCell ref="K22:L22"/>
  </mergeCells>
  <conditionalFormatting sqref="G3">
    <cfRule type="expression" dxfId="41" priority="175">
      <formula>$G$3&gt;$C$45</formula>
    </cfRule>
  </conditionalFormatting>
  <conditionalFormatting sqref="G4">
    <cfRule type="expression" dxfId="40" priority="176">
      <formula>$G$4&gt;$C$46</formula>
    </cfRule>
  </conditionalFormatting>
  <conditionalFormatting sqref="G5">
    <cfRule type="expression" dxfId="39" priority="177">
      <formula>$G$5&gt;$C$47</formula>
    </cfRule>
  </conditionalFormatting>
  <conditionalFormatting sqref="G6">
    <cfRule type="expression" dxfId="38" priority="178">
      <formula>$G$6&gt;$C$48</formula>
    </cfRule>
  </conditionalFormatting>
  <conditionalFormatting sqref="G7">
    <cfRule type="expression" dxfId="37" priority="179">
      <formula>$G$7&gt;$C$49</formula>
    </cfRule>
  </conditionalFormatting>
  <conditionalFormatting sqref="G8">
    <cfRule type="expression" dxfId="36" priority="81">
      <formula>$G$8&gt;$C$50</formula>
    </cfRule>
  </conditionalFormatting>
  <conditionalFormatting sqref="H3">
    <cfRule type="expression" dxfId="35" priority="163">
      <formula>$H$3&gt;$C$13</formula>
    </cfRule>
  </conditionalFormatting>
  <conditionalFormatting sqref="H4">
    <cfRule type="expression" dxfId="34" priority="180">
      <formula>$H$4&gt;$C$21</formula>
    </cfRule>
  </conditionalFormatting>
  <conditionalFormatting sqref="H5">
    <cfRule type="expression" dxfId="33" priority="164">
      <formula>$H$5&gt;$G$13</formula>
    </cfRule>
  </conditionalFormatting>
  <conditionalFormatting sqref="H6">
    <cfRule type="expression" dxfId="32" priority="186">
      <formula>$H$6&gt;$G$24</formula>
    </cfRule>
  </conditionalFormatting>
  <conditionalFormatting sqref="H7">
    <cfRule type="expression" dxfId="31" priority="165">
      <formula>$H$7&gt;$K$13</formula>
    </cfRule>
  </conditionalFormatting>
  <conditionalFormatting sqref="H8">
    <cfRule type="expression" dxfId="30" priority="57">
      <formula>$H$8&gt;$K$25</formula>
    </cfRule>
  </conditionalFormatting>
  <conditionalFormatting sqref="I3">
    <cfRule type="expression" dxfId="29" priority="162">
      <formula>$I$3&gt;$D$13</formula>
    </cfRule>
  </conditionalFormatting>
  <conditionalFormatting sqref="I4:J4">
    <cfRule type="expression" dxfId="28" priority="181">
      <formula>$I$4&gt;$D$21</formula>
    </cfRule>
  </conditionalFormatting>
  <conditionalFormatting sqref="I5:J5">
    <cfRule type="expression" dxfId="27" priority="166">
      <formula>$I$5&gt;$H$13</formula>
    </cfRule>
  </conditionalFormatting>
  <conditionalFormatting sqref="I6:J6">
    <cfRule type="expression" dxfId="26" priority="187">
      <formula>$I$6&gt;$H$24</formula>
    </cfRule>
  </conditionalFormatting>
  <conditionalFormatting sqref="I7:J7">
    <cfRule type="expression" dxfId="25" priority="167">
      <formula>$I$7&gt;$L$13</formula>
    </cfRule>
  </conditionalFormatting>
  <conditionalFormatting sqref="I8:J8">
    <cfRule type="expression" dxfId="24" priority="39">
      <formula>$I$8&gt;$L$25</formula>
    </cfRule>
  </conditionalFormatting>
  <conditionalFormatting sqref="J3">
    <cfRule type="notContainsText" dxfId="23" priority="168" operator="notContains" text="NÃO PASSA">
      <formula>ISERROR(SEARCH("NÃO PASSA",J3))</formula>
    </cfRule>
    <cfRule type="expression" dxfId="22" priority="170">
      <formula>$I$3&gt;$D$13</formula>
    </cfRule>
    <cfRule type="containsText" dxfId="21" priority="169" operator="containsText" text="NÃO PASSA">
      <formula>NOT(ISERROR(SEARCH("NÃO PASSA",J3)))</formula>
    </cfRule>
  </conditionalFormatting>
  <conditionalFormatting sqref="J3:J8">
    <cfRule type="notContainsText" dxfId="20" priority="27" operator="notContains" text="NÃO PASSA">
      <formula>ISERROR(SEARCH("NÃO PASSA",J3))</formula>
    </cfRule>
  </conditionalFormatting>
  <conditionalFormatting sqref="J4:J8">
    <cfRule type="containsText" dxfId="19" priority="33" operator="containsText" text="NÃO PASSA">
      <formula>NOT(ISERROR(SEARCH("NÃO PASSA",J4)))</formula>
    </cfRule>
    <cfRule type="notContainsText" dxfId="18" priority="30" operator="notContains" text="NÃO PASSA">
      <formula>ISERROR(SEARCH("NÃO PASSA",J4))</formula>
    </cfRule>
  </conditionalFormatting>
  <conditionalFormatting sqref="N3">
    <cfRule type="expression" dxfId="17" priority="2">
      <formula>$N$3&gt;$D$13</formula>
    </cfRule>
  </conditionalFormatting>
  <conditionalFormatting sqref="N4">
    <cfRule type="expression" dxfId="16" priority="5">
      <formula>$N$4&gt;$D$21</formula>
    </cfRule>
  </conditionalFormatting>
  <conditionalFormatting sqref="N5">
    <cfRule type="expression" dxfId="15" priority="3">
      <formula>$N$5&gt;$H$13</formula>
    </cfRule>
  </conditionalFormatting>
  <conditionalFormatting sqref="N6">
    <cfRule type="expression" dxfId="14" priority="7">
      <formula>$N$6&gt;$H$24</formula>
    </cfRule>
  </conditionalFormatting>
  <conditionalFormatting sqref="N7">
    <cfRule type="expression" dxfId="13" priority="4">
      <formula>$N$7&gt;$L$13</formula>
    </cfRule>
  </conditionalFormatting>
  <conditionalFormatting sqref="N8">
    <cfRule type="expression" dxfId="12" priority="1">
      <formula>$N$8&gt;$L$25</formula>
    </cfRule>
  </conditionalFormatting>
  <conditionalFormatting sqref="O3">
    <cfRule type="expression" dxfId="11" priority="9">
      <formula>$G$3&gt;$C$45</formula>
    </cfRule>
  </conditionalFormatting>
  <conditionalFormatting sqref="O4">
    <cfRule type="expression" dxfId="10" priority="10">
      <formula>$G$4&gt;$C$46</formula>
    </cfRule>
  </conditionalFormatting>
  <conditionalFormatting sqref="O5">
    <cfRule type="expression" dxfId="9" priority="11">
      <formula>$G$5&gt;$C$47</formula>
    </cfRule>
  </conditionalFormatting>
  <conditionalFormatting sqref="O6">
    <cfRule type="expression" dxfId="8" priority="12">
      <formula>$G$6&gt;$C$48</formula>
    </cfRule>
  </conditionalFormatting>
  <conditionalFormatting sqref="O7">
    <cfRule type="expression" dxfId="7" priority="13">
      <formula>$G$7&gt;$C$49</formula>
    </cfRule>
  </conditionalFormatting>
  <conditionalFormatting sqref="O8">
    <cfRule type="expression" dxfId="6" priority="8">
      <formula>$G$8&gt;$C$50</formula>
    </cfRule>
  </conditionalFormatting>
  <conditionalFormatting sqref="P3">
    <cfRule type="expression" dxfId="5" priority="22">
      <formula>$P$3&gt;$C$13</formula>
    </cfRule>
  </conditionalFormatting>
  <conditionalFormatting sqref="P4">
    <cfRule type="expression" dxfId="4" priority="25">
      <formula>$P$4&gt;$C$21</formula>
    </cfRule>
  </conditionalFormatting>
  <conditionalFormatting sqref="P5">
    <cfRule type="expression" dxfId="3" priority="23">
      <formula>$P$5&gt;$G$13</formula>
    </cfRule>
  </conditionalFormatting>
  <conditionalFormatting sqref="P6">
    <cfRule type="expression" dxfId="2" priority="26">
      <formula>$P$6&gt;$G$24</formula>
    </cfRule>
  </conditionalFormatting>
  <conditionalFormatting sqref="P7">
    <cfRule type="expression" dxfId="1" priority="24">
      <formula>$P$7&gt;$K$13</formula>
    </cfRule>
  </conditionalFormatting>
  <conditionalFormatting sqref="P8">
    <cfRule type="expression" dxfId="0" priority="21">
      <formula>$P$8&gt;$K$25</formula>
    </cfRule>
  </conditionalFormatting>
  <pageMargins left="0.39370078740157483" right="0.39370078740157483" top="0.78740157480314965" bottom="0.78740157480314965" header="0.31496062992125984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"/>
  <sheetViews>
    <sheetView workbookViewId="0">
      <selection activeCell="G37" sqref="G37"/>
    </sheetView>
  </sheetViews>
  <sheetFormatPr defaultRowHeight="15" x14ac:dyDescent="0.25"/>
  <cols>
    <col min="1" max="1" width="13.28515625" customWidth="1"/>
    <col min="2" max="2" width="14.85546875" customWidth="1"/>
    <col min="3" max="3" width="16" customWidth="1"/>
    <col min="4" max="4" width="17.85546875" customWidth="1"/>
    <col min="5" max="5" width="12.85546875" customWidth="1"/>
  </cols>
  <sheetData>
    <row r="1" spans="1:5" x14ac:dyDescent="0.25">
      <c r="A1" s="1"/>
    </row>
    <row r="3" spans="1:5" x14ac:dyDescent="0.25">
      <c r="A3" s="3"/>
      <c r="B3" s="3"/>
      <c r="C3" s="3"/>
      <c r="D3" s="3"/>
      <c r="E3" s="3"/>
    </row>
    <row r="4" spans="1:5" x14ac:dyDescent="0.25">
      <c r="A4" s="4"/>
      <c r="B4" s="4"/>
      <c r="C4" s="4"/>
      <c r="D4" s="4"/>
      <c r="E4" s="5"/>
    </row>
    <row r="5" spans="1:5" x14ac:dyDescent="0.25">
      <c r="A5" s="4"/>
      <c r="B5" s="4"/>
      <c r="C5" s="4"/>
      <c r="D5" s="4"/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4"/>
      <c r="B7" s="4"/>
      <c r="C7" s="4"/>
      <c r="D7" s="4"/>
      <c r="E7" s="5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5"/>
    </row>
    <row r="17" spans="1:9" x14ac:dyDescent="0.25">
      <c r="A17" s="4"/>
      <c r="B17" s="4"/>
      <c r="C17" s="4"/>
      <c r="D17" s="4"/>
      <c r="E17" s="4"/>
    </row>
    <row r="18" spans="1:9" x14ac:dyDescent="0.25">
      <c r="A18" s="4"/>
      <c r="B18" s="4"/>
      <c r="C18" s="4"/>
      <c r="D18" s="4"/>
      <c r="E18" s="4"/>
    </row>
    <row r="19" spans="1:9" x14ac:dyDescent="0.25">
      <c r="A19" s="4"/>
      <c r="B19" s="4"/>
      <c r="C19" s="4"/>
      <c r="D19" s="4"/>
      <c r="E19" s="4"/>
    </row>
    <row r="20" spans="1:9" x14ac:dyDescent="0.25">
      <c r="A20" s="4"/>
      <c r="B20" s="4"/>
      <c r="C20" s="4"/>
      <c r="D20" s="4"/>
      <c r="E20" s="4"/>
    </row>
    <row r="21" spans="1:9" x14ac:dyDescent="0.25">
      <c r="A21" s="4"/>
      <c r="B21" s="4"/>
      <c r="C21" s="4"/>
      <c r="D21" s="4"/>
      <c r="E21" s="5"/>
    </row>
    <row r="22" spans="1:9" x14ac:dyDescent="0.25">
      <c r="A22" s="4"/>
      <c r="B22" s="4"/>
      <c r="C22" s="4"/>
      <c r="D22" s="4"/>
      <c r="E22" s="5"/>
    </row>
    <row r="23" spans="1:9" x14ac:dyDescent="0.25">
      <c r="A23" s="4">
        <v>4</v>
      </c>
      <c r="B23" s="4">
        <v>0.35</v>
      </c>
      <c r="C23" s="4">
        <v>0.6</v>
      </c>
      <c r="D23" s="4">
        <v>7</v>
      </c>
      <c r="E23" s="4">
        <f>D23*C23*B23*A23</f>
        <v>5.88</v>
      </c>
      <c r="G23" s="4">
        <v>100</v>
      </c>
      <c r="I23">
        <f>G23*E23</f>
        <v>588</v>
      </c>
    </row>
    <row r="24" spans="1:9" x14ac:dyDescent="0.25">
      <c r="A24" s="4">
        <v>2</v>
      </c>
      <c r="B24" s="4">
        <v>0.4</v>
      </c>
      <c r="C24" s="4">
        <v>0.6</v>
      </c>
      <c r="D24" s="4">
        <v>7</v>
      </c>
      <c r="E24" s="4">
        <f>D24*C24*B24*A24</f>
        <v>3.3600000000000003</v>
      </c>
      <c r="G24" s="4">
        <v>170</v>
      </c>
      <c r="I24">
        <f>G24*E24</f>
        <v>571.20000000000005</v>
      </c>
    </row>
    <row r="25" spans="1:9" x14ac:dyDescent="0.25">
      <c r="A25" s="4">
        <v>1</v>
      </c>
      <c r="B25" s="4">
        <v>0.4</v>
      </c>
      <c r="C25" s="4">
        <v>0.8</v>
      </c>
      <c r="D25" s="4">
        <v>6</v>
      </c>
      <c r="E25" s="4">
        <f>D25*C25*B25*A25</f>
        <v>1.9200000000000004</v>
      </c>
      <c r="G25" s="4">
        <v>180</v>
      </c>
      <c r="I25">
        <f>G25*E25</f>
        <v>345.60000000000008</v>
      </c>
    </row>
    <row r="26" spans="1:9" x14ac:dyDescent="0.25">
      <c r="A26" s="4">
        <v>1</v>
      </c>
      <c r="B26" s="4">
        <v>0.3</v>
      </c>
      <c r="C26" s="4">
        <v>0.7</v>
      </c>
      <c r="D26" s="4">
        <v>6</v>
      </c>
      <c r="E26" s="4">
        <f>D26*C26*B26*A26</f>
        <v>1.2599999999999998</v>
      </c>
      <c r="G26" s="4">
        <v>100</v>
      </c>
      <c r="I26">
        <f>G26*E26</f>
        <v>125.99999999999997</v>
      </c>
    </row>
    <row r="27" spans="1:9" x14ac:dyDescent="0.25">
      <c r="A27" s="4">
        <v>1</v>
      </c>
      <c r="B27" s="4">
        <v>0.35</v>
      </c>
      <c r="C27" s="4">
        <v>0.8</v>
      </c>
      <c r="D27" s="4">
        <v>6</v>
      </c>
      <c r="E27" s="4">
        <f>D27*C27*B27*A27</f>
        <v>1.6800000000000002</v>
      </c>
      <c r="G27" s="4">
        <v>160</v>
      </c>
      <c r="I27">
        <f>G27*E27</f>
        <v>268.8</v>
      </c>
    </row>
    <row r="28" spans="1:9" x14ac:dyDescent="0.25">
      <c r="A28" s="4"/>
      <c r="B28" s="4"/>
      <c r="C28" s="4"/>
      <c r="D28" s="4"/>
      <c r="E28" s="4"/>
    </row>
    <row r="29" spans="1:9" x14ac:dyDescent="0.25">
      <c r="A29" s="4"/>
      <c r="B29" s="4"/>
      <c r="C29" s="4"/>
      <c r="D29" s="4"/>
      <c r="E29" s="4">
        <f>SUM(E23:E27)</f>
        <v>14.1</v>
      </c>
      <c r="I29">
        <f>SUM(I23:I27)</f>
        <v>1899.6000000000001</v>
      </c>
    </row>
    <row r="30" spans="1:9" x14ac:dyDescent="0.25">
      <c r="A30" s="4"/>
      <c r="B30" s="4"/>
      <c r="C30" s="4"/>
      <c r="D30" s="4"/>
      <c r="E30" s="4"/>
      <c r="I30">
        <f>I29/E29</f>
        <v>134.72340425531917</v>
      </c>
    </row>
    <row r="31" spans="1:9" x14ac:dyDescent="0.25">
      <c r="A31" s="4"/>
      <c r="B31" s="4"/>
      <c r="C31" s="4"/>
      <c r="D31" s="4"/>
      <c r="E31" s="4"/>
    </row>
    <row r="32" spans="1:9" x14ac:dyDescent="0.25">
      <c r="A32" s="4"/>
      <c r="B32" s="4"/>
      <c r="C32" s="4"/>
      <c r="D32" s="4"/>
      <c r="E32" s="4"/>
    </row>
    <row r="33" spans="1:12" x14ac:dyDescent="0.25">
      <c r="A33" s="4"/>
      <c r="B33" s="4"/>
      <c r="C33" s="4"/>
      <c r="D33" s="4"/>
      <c r="E33" s="4"/>
    </row>
    <row r="34" spans="1:12" x14ac:dyDescent="0.25">
      <c r="A34" s="4"/>
      <c r="B34" s="4"/>
      <c r="C34" s="4"/>
      <c r="D34" s="4"/>
      <c r="E34" s="4"/>
      <c r="F34">
        <v>703.08</v>
      </c>
      <c r="I34">
        <v>856748.55</v>
      </c>
    </row>
    <row r="35" spans="1:12" x14ac:dyDescent="0.25">
      <c r="A35" s="4"/>
      <c r="B35" s="4"/>
      <c r="C35" s="4"/>
      <c r="D35" s="4"/>
      <c r="E35" s="4"/>
      <c r="F35">
        <v>603</v>
      </c>
      <c r="I35">
        <v>648043.62</v>
      </c>
    </row>
    <row r="36" spans="1:12" x14ac:dyDescent="0.25">
      <c r="A36" s="135"/>
      <c r="B36" s="135"/>
      <c r="C36" s="6"/>
      <c r="D36" s="7"/>
      <c r="E36" s="8"/>
      <c r="F36">
        <v>6.5</v>
      </c>
      <c r="H36" s="2"/>
      <c r="I36">
        <v>13874.24</v>
      </c>
    </row>
    <row r="37" spans="1:12" x14ac:dyDescent="0.25">
      <c r="A37" s="4"/>
      <c r="B37" s="4"/>
      <c r="C37" s="4"/>
      <c r="D37" s="4"/>
      <c r="E37" s="4"/>
      <c r="F37">
        <v>261.8</v>
      </c>
      <c r="I37">
        <v>641784.9</v>
      </c>
    </row>
    <row r="38" spans="1:12" x14ac:dyDescent="0.25">
      <c r="A38" s="4"/>
      <c r="B38" s="4"/>
      <c r="C38" s="4"/>
      <c r="D38" s="4"/>
      <c r="E38" s="4"/>
      <c r="F38">
        <v>46.095999999999997</v>
      </c>
      <c r="H38" s="2"/>
      <c r="I38">
        <v>96833</v>
      </c>
    </row>
    <row r="39" spans="1:12" x14ac:dyDescent="0.25">
      <c r="A39" s="4"/>
      <c r="B39" s="4"/>
      <c r="C39" s="4"/>
      <c r="D39" s="4"/>
      <c r="E39" s="4"/>
      <c r="F39">
        <v>180</v>
      </c>
      <c r="I39">
        <v>439727.76</v>
      </c>
    </row>
    <row r="40" spans="1:12" x14ac:dyDescent="0.25">
      <c r="A40" s="4"/>
      <c r="B40" s="4"/>
      <c r="C40" s="4"/>
      <c r="D40" s="4"/>
      <c r="E40" s="4"/>
      <c r="F40">
        <v>9</v>
      </c>
      <c r="I40">
        <v>16237.93</v>
      </c>
    </row>
    <row r="41" spans="1:12" x14ac:dyDescent="0.25">
      <c r="A41" s="4"/>
      <c r="B41" s="4"/>
      <c r="C41" s="4"/>
      <c r="D41" s="4"/>
      <c r="E41" s="4"/>
      <c r="F41">
        <v>2.04</v>
      </c>
      <c r="I41">
        <v>3680.6</v>
      </c>
    </row>
    <row r="42" spans="1:12" x14ac:dyDescent="0.25">
      <c r="A42" s="4"/>
      <c r="B42" s="4"/>
      <c r="C42" s="4"/>
      <c r="D42" s="4"/>
      <c r="E42" s="4"/>
      <c r="F42">
        <v>145.136</v>
      </c>
      <c r="I42">
        <v>333611.84000000003</v>
      </c>
    </row>
    <row r="43" spans="1:12" x14ac:dyDescent="0.25">
      <c r="A43" s="4"/>
      <c r="B43" s="4"/>
      <c r="C43" s="4"/>
      <c r="D43" s="4"/>
      <c r="E43" s="4"/>
      <c r="F43">
        <v>79.38</v>
      </c>
      <c r="I43">
        <v>182459.06</v>
      </c>
    </row>
    <row r="44" spans="1:12" x14ac:dyDescent="0.25">
      <c r="A44" s="4"/>
      <c r="B44" s="4"/>
      <c r="C44" s="4"/>
      <c r="D44" s="4"/>
      <c r="E44" s="4"/>
      <c r="F44">
        <v>13.44</v>
      </c>
      <c r="I44">
        <v>30892.54</v>
      </c>
    </row>
    <row r="45" spans="1:12" x14ac:dyDescent="0.25">
      <c r="A45" s="4"/>
      <c r="B45" s="4"/>
      <c r="C45" s="4"/>
      <c r="D45" s="4"/>
      <c r="E45" s="4"/>
      <c r="L45">
        <v>12300</v>
      </c>
    </row>
    <row r="46" spans="1:12" x14ac:dyDescent="0.25">
      <c r="A46" s="4"/>
      <c r="B46" s="4"/>
      <c r="C46" s="4"/>
      <c r="D46" s="4"/>
      <c r="E46" s="4"/>
      <c r="L46">
        <v>31200</v>
      </c>
    </row>
    <row r="47" spans="1:12" x14ac:dyDescent="0.25">
      <c r="A47" s="4"/>
      <c r="B47" s="4"/>
      <c r="C47" s="4"/>
      <c r="D47" s="4"/>
      <c r="E47" s="4"/>
      <c r="L47">
        <v>358540</v>
      </c>
    </row>
    <row r="48" spans="1:12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/>
      <c r="D58" s="4"/>
      <c r="E58" s="4"/>
    </row>
    <row r="59" spans="1:5" x14ac:dyDescent="0.25">
      <c r="A59" s="4"/>
      <c r="B59" s="4"/>
      <c r="C59" s="4"/>
      <c r="D59" s="4"/>
      <c r="E59" s="4"/>
    </row>
    <row r="60" spans="1:5" x14ac:dyDescent="0.25">
      <c r="A60" s="4"/>
      <c r="B60" s="4"/>
      <c r="C60" s="4"/>
      <c r="D60" s="4"/>
      <c r="E60" s="4"/>
    </row>
    <row r="61" spans="1:5" x14ac:dyDescent="0.25">
      <c r="A61" s="4"/>
      <c r="B61" s="4"/>
      <c r="C61" s="4"/>
      <c r="D61" s="4"/>
      <c r="E61" s="4"/>
    </row>
    <row r="62" spans="1:5" x14ac:dyDescent="0.25">
      <c r="A62" s="4"/>
      <c r="B62" s="4"/>
      <c r="C62" s="4"/>
      <c r="D62" s="4"/>
      <c r="E62" s="4"/>
    </row>
    <row r="63" spans="1:5" x14ac:dyDescent="0.25">
      <c r="A63" s="4"/>
      <c r="B63" s="4"/>
      <c r="C63" s="4"/>
      <c r="D63" s="4"/>
      <c r="E63" s="4"/>
    </row>
    <row r="64" spans="1:5" x14ac:dyDescent="0.25">
      <c r="A64" s="4"/>
      <c r="B64" s="4"/>
      <c r="C64" s="4"/>
      <c r="D64" s="4"/>
      <c r="E64" s="4"/>
    </row>
    <row r="65" spans="1:5" x14ac:dyDescent="0.25">
      <c r="A65" s="4"/>
      <c r="B65" s="4"/>
      <c r="C65" s="4"/>
      <c r="D65" s="4"/>
      <c r="E65" s="4"/>
    </row>
    <row r="66" spans="1:5" x14ac:dyDescent="0.25">
      <c r="A66" s="4"/>
      <c r="B66" s="4"/>
      <c r="C66" s="4"/>
      <c r="D66" s="4"/>
      <c r="E66" s="4"/>
    </row>
    <row r="67" spans="1:5" x14ac:dyDescent="0.25">
      <c r="A67" s="4"/>
      <c r="B67" s="4"/>
      <c r="C67" s="4"/>
      <c r="D67" s="4"/>
      <c r="E67" s="4"/>
    </row>
    <row r="68" spans="1:5" x14ac:dyDescent="0.25">
      <c r="A68" s="4"/>
      <c r="B68" s="4"/>
      <c r="C68" s="4"/>
      <c r="D68" s="4"/>
      <c r="E68" s="4"/>
    </row>
    <row r="69" spans="1:5" x14ac:dyDescent="0.25">
      <c r="A69" s="4"/>
      <c r="B69" s="4"/>
      <c r="C69" s="4"/>
      <c r="D69" s="4"/>
      <c r="E69" s="4"/>
    </row>
    <row r="70" spans="1:5" x14ac:dyDescent="0.25">
      <c r="A70" s="4"/>
      <c r="B70" s="4"/>
      <c r="C70" s="4"/>
      <c r="D70" s="4"/>
      <c r="E70" s="4"/>
    </row>
    <row r="71" spans="1:5" x14ac:dyDescent="0.25">
      <c r="A71" s="4"/>
      <c r="B71" s="4"/>
      <c r="C71" s="4"/>
      <c r="D71" s="4"/>
      <c r="E71" s="4"/>
    </row>
    <row r="72" spans="1:5" x14ac:dyDescent="0.25">
      <c r="A72" s="4"/>
      <c r="B72" s="4"/>
      <c r="C72" s="4"/>
      <c r="D72" s="4"/>
      <c r="E72" s="4"/>
    </row>
    <row r="73" spans="1:5" x14ac:dyDescent="0.25">
      <c r="A73" s="135"/>
      <c r="B73" s="135"/>
      <c r="C73" s="6"/>
      <c r="D73" s="9"/>
      <c r="E73" s="8"/>
    </row>
    <row r="75" spans="1:5" x14ac:dyDescent="0.25">
      <c r="A75" s="135"/>
      <c r="B75" s="135"/>
      <c r="C75" s="6"/>
      <c r="D75" s="7"/>
      <c r="E75" s="8"/>
    </row>
  </sheetData>
  <mergeCells count="3">
    <mergeCell ref="A36:B36"/>
    <mergeCell ref="A73:B73"/>
    <mergeCell ref="A75:B7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1"/>
  <sheetViews>
    <sheetView workbookViewId="0">
      <selection activeCell="K32" sqref="K32"/>
    </sheetView>
  </sheetViews>
  <sheetFormatPr defaultRowHeight="15" x14ac:dyDescent="0.25"/>
  <cols>
    <col min="1" max="1" width="18.5703125" bestFit="1" customWidth="1"/>
    <col min="7" max="7" width="13.85546875" customWidth="1"/>
    <col min="9" max="9" width="15.140625" customWidth="1"/>
    <col min="10" max="10" width="9.28515625" customWidth="1"/>
    <col min="11" max="11" width="12.5703125" customWidth="1"/>
    <col min="12" max="12" width="8.42578125" customWidth="1"/>
    <col min="13" max="13" width="8.5703125" customWidth="1"/>
  </cols>
  <sheetData>
    <row r="1" spans="1:14" ht="15.75" x14ac:dyDescent="0.25">
      <c r="A1" s="137" t="s">
        <v>48</v>
      </c>
      <c r="B1" s="138"/>
      <c r="C1" s="138"/>
      <c r="D1" s="138"/>
      <c r="E1" s="139"/>
      <c r="F1" s="14"/>
      <c r="G1" s="137" t="s">
        <v>48</v>
      </c>
      <c r="H1" s="138"/>
      <c r="I1" s="138"/>
      <c r="J1" s="138"/>
      <c r="K1" s="139"/>
      <c r="N1" s="10"/>
    </row>
    <row r="2" spans="1:14" ht="15.75" x14ac:dyDescent="0.25">
      <c r="A2" s="15"/>
      <c r="B2" s="16" t="s">
        <v>40</v>
      </c>
      <c r="C2" s="16" t="s">
        <v>41</v>
      </c>
      <c r="D2" s="16" t="s">
        <v>42</v>
      </c>
      <c r="E2" s="17" t="s">
        <v>43</v>
      </c>
      <c r="F2" s="14"/>
      <c r="G2" s="15"/>
      <c r="H2" s="16" t="s">
        <v>40</v>
      </c>
      <c r="I2" s="16" t="s">
        <v>41</v>
      </c>
      <c r="J2" s="16" t="s">
        <v>42</v>
      </c>
      <c r="K2" s="17" t="s">
        <v>43</v>
      </c>
      <c r="N2" s="10"/>
    </row>
    <row r="3" spans="1:14" ht="15.75" x14ac:dyDescent="0.25">
      <c r="A3" s="18" t="s">
        <v>44</v>
      </c>
      <c r="B3" s="19" t="s">
        <v>47</v>
      </c>
      <c r="C3" s="19" t="s">
        <v>47</v>
      </c>
      <c r="D3" s="19" t="s">
        <v>47</v>
      </c>
      <c r="E3" s="20"/>
      <c r="F3" s="14"/>
      <c r="G3" s="18" t="s">
        <v>44</v>
      </c>
      <c r="H3" s="19" t="s">
        <v>47</v>
      </c>
      <c r="I3" s="19" t="s">
        <v>47</v>
      </c>
      <c r="J3" s="19" t="s">
        <v>47</v>
      </c>
      <c r="K3" s="20"/>
      <c r="N3" s="10"/>
    </row>
    <row r="4" spans="1:14" ht="15.75" x14ac:dyDescent="0.25">
      <c r="A4" s="18" t="s">
        <v>45</v>
      </c>
      <c r="B4" s="19" t="s">
        <v>47</v>
      </c>
      <c r="C4" s="19"/>
      <c r="D4" s="19" t="s">
        <v>47</v>
      </c>
      <c r="E4" s="20"/>
      <c r="F4" s="14"/>
      <c r="G4" s="18" t="s">
        <v>45</v>
      </c>
      <c r="H4" s="19" t="s">
        <v>47</v>
      </c>
      <c r="I4" s="19"/>
      <c r="J4" s="19" t="s">
        <v>47</v>
      </c>
      <c r="K4" s="20"/>
      <c r="N4" s="10"/>
    </row>
    <row r="5" spans="1:14" ht="16.5" thickBot="1" x14ac:dyDescent="0.3">
      <c r="A5" s="21" t="s">
        <v>46</v>
      </c>
      <c r="B5" s="22" t="s">
        <v>47</v>
      </c>
      <c r="C5" s="22"/>
      <c r="D5" s="22"/>
      <c r="E5" s="23" t="s">
        <v>47</v>
      </c>
      <c r="F5" s="14"/>
      <c r="G5" s="21" t="s">
        <v>46</v>
      </c>
      <c r="H5" s="22" t="s">
        <v>47</v>
      </c>
      <c r="I5" s="22"/>
      <c r="J5" s="22"/>
      <c r="K5" s="23" t="s">
        <v>47</v>
      </c>
      <c r="N5" s="10"/>
    </row>
    <row r="6" spans="1:14" ht="27.75" customHeight="1" thickBot="1" x14ac:dyDescent="0.3">
      <c r="A6" s="24"/>
      <c r="B6" s="24"/>
      <c r="C6" s="24"/>
      <c r="D6" s="24"/>
      <c r="E6" s="24"/>
      <c r="F6" s="14"/>
      <c r="G6" s="24"/>
      <c r="H6" s="24"/>
      <c r="I6" s="24"/>
      <c r="J6" s="24"/>
      <c r="K6" s="24"/>
      <c r="N6" s="10"/>
    </row>
    <row r="7" spans="1:14" ht="15.75" x14ac:dyDescent="0.25">
      <c r="A7" s="137" t="s">
        <v>48</v>
      </c>
      <c r="B7" s="138"/>
      <c r="C7" s="138"/>
      <c r="D7" s="138"/>
      <c r="E7" s="139"/>
      <c r="F7" s="14"/>
      <c r="G7" s="137" t="s">
        <v>48</v>
      </c>
      <c r="H7" s="138"/>
      <c r="I7" s="138"/>
      <c r="J7" s="138"/>
      <c r="K7" s="139"/>
    </row>
    <row r="8" spans="1:14" ht="15.75" x14ac:dyDescent="0.25">
      <c r="A8" s="15"/>
      <c r="B8" s="16" t="s">
        <v>40</v>
      </c>
      <c r="C8" s="16" t="s">
        <v>41</v>
      </c>
      <c r="D8" s="16" t="s">
        <v>42</v>
      </c>
      <c r="E8" s="17" t="s">
        <v>43</v>
      </c>
      <c r="F8" s="14"/>
      <c r="G8" s="15"/>
      <c r="H8" s="16" t="s">
        <v>40</v>
      </c>
      <c r="I8" s="16" t="s">
        <v>41</v>
      </c>
      <c r="J8" s="16" t="s">
        <v>42</v>
      </c>
      <c r="K8" s="17" t="s">
        <v>43</v>
      </c>
    </row>
    <row r="9" spans="1:14" ht="15.75" x14ac:dyDescent="0.25">
      <c r="A9" s="18" t="s">
        <v>44</v>
      </c>
      <c r="B9" s="19" t="s">
        <v>47</v>
      </c>
      <c r="C9" s="19" t="s">
        <v>47</v>
      </c>
      <c r="D9" s="19" t="s">
        <v>47</v>
      </c>
      <c r="E9" s="20"/>
      <c r="F9" s="14"/>
      <c r="G9" s="18" t="s">
        <v>44</v>
      </c>
      <c r="H9" s="19" t="s">
        <v>47</v>
      </c>
      <c r="I9" s="19" t="s">
        <v>47</v>
      </c>
      <c r="J9" s="19" t="s">
        <v>47</v>
      </c>
      <c r="K9" s="20"/>
    </row>
    <row r="10" spans="1:14" ht="15.75" x14ac:dyDescent="0.25">
      <c r="A10" s="18" t="s">
        <v>45</v>
      </c>
      <c r="B10" s="19" t="s">
        <v>47</v>
      </c>
      <c r="C10" s="19"/>
      <c r="D10" s="19" t="s">
        <v>47</v>
      </c>
      <c r="E10" s="20"/>
      <c r="F10" s="14"/>
      <c r="G10" s="18" t="s">
        <v>45</v>
      </c>
      <c r="H10" s="19" t="s">
        <v>47</v>
      </c>
      <c r="I10" s="19"/>
      <c r="J10" s="19" t="s">
        <v>47</v>
      </c>
      <c r="K10" s="20"/>
    </row>
    <row r="11" spans="1:14" ht="16.5" thickBot="1" x14ac:dyDescent="0.3">
      <c r="A11" s="21" t="s">
        <v>46</v>
      </c>
      <c r="B11" s="22" t="s">
        <v>47</v>
      </c>
      <c r="C11" s="22"/>
      <c r="D11" s="22"/>
      <c r="E11" s="23" t="s">
        <v>47</v>
      </c>
      <c r="F11" s="14"/>
      <c r="G11" s="21" t="s">
        <v>46</v>
      </c>
      <c r="H11" s="22" t="s">
        <v>47</v>
      </c>
      <c r="I11" s="22"/>
      <c r="J11" s="22"/>
      <c r="K11" s="23" t="s">
        <v>47</v>
      </c>
    </row>
    <row r="12" spans="1:14" ht="32.25" customHeight="1" thickBo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4" ht="15.75" x14ac:dyDescent="0.25">
      <c r="A13" s="137" t="s">
        <v>48</v>
      </c>
      <c r="B13" s="138"/>
      <c r="C13" s="138"/>
      <c r="D13" s="138"/>
      <c r="E13" s="139"/>
      <c r="F13" s="14"/>
      <c r="G13" s="137" t="s">
        <v>48</v>
      </c>
      <c r="H13" s="138"/>
      <c r="I13" s="138"/>
      <c r="J13" s="138"/>
      <c r="K13" s="139"/>
    </row>
    <row r="14" spans="1:14" ht="15.75" x14ac:dyDescent="0.25">
      <c r="A14" s="15"/>
      <c r="B14" s="16" t="s">
        <v>40</v>
      </c>
      <c r="C14" s="16" t="s">
        <v>41</v>
      </c>
      <c r="D14" s="16" t="s">
        <v>42</v>
      </c>
      <c r="E14" s="17" t="s">
        <v>43</v>
      </c>
      <c r="F14" s="14"/>
      <c r="G14" s="15"/>
      <c r="H14" s="16" t="s">
        <v>40</v>
      </c>
      <c r="I14" s="16" t="s">
        <v>41</v>
      </c>
      <c r="J14" s="16" t="s">
        <v>42</v>
      </c>
      <c r="K14" s="17" t="s">
        <v>43</v>
      </c>
    </row>
    <row r="15" spans="1:14" ht="15.75" x14ac:dyDescent="0.25">
      <c r="A15" s="18" t="s">
        <v>44</v>
      </c>
      <c r="B15" s="19" t="s">
        <v>47</v>
      </c>
      <c r="C15" s="19" t="s">
        <v>47</v>
      </c>
      <c r="D15" s="19" t="s">
        <v>47</v>
      </c>
      <c r="E15" s="20"/>
      <c r="F15" s="14"/>
      <c r="G15" s="18" t="s">
        <v>44</v>
      </c>
      <c r="H15" s="19" t="s">
        <v>47</v>
      </c>
      <c r="I15" s="19" t="s">
        <v>47</v>
      </c>
      <c r="J15" s="19" t="s">
        <v>47</v>
      </c>
      <c r="K15" s="20"/>
    </row>
    <row r="16" spans="1:14" ht="15.75" x14ac:dyDescent="0.25">
      <c r="A16" s="18" t="s">
        <v>45</v>
      </c>
      <c r="B16" s="19" t="s">
        <v>47</v>
      </c>
      <c r="C16" s="19"/>
      <c r="D16" s="19" t="s">
        <v>47</v>
      </c>
      <c r="E16" s="20"/>
      <c r="F16" s="14"/>
      <c r="G16" s="18" t="s">
        <v>45</v>
      </c>
      <c r="H16" s="19" t="s">
        <v>47</v>
      </c>
      <c r="I16" s="19"/>
      <c r="J16" s="19" t="s">
        <v>47</v>
      </c>
      <c r="K16" s="20"/>
    </row>
    <row r="17" spans="1:11" ht="16.5" thickBot="1" x14ac:dyDescent="0.3">
      <c r="A17" s="21" t="s">
        <v>46</v>
      </c>
      <c r="B17" s="22" t="s">
        <v>47</v>
      </c>
      <c r="C17" s="22"/>
      <c r="D17" s="22"/>
      <c r="E17" s="23" t="s">
        <v>47</v>
      </c>
      <c r="F17" s="14"/>
      <c r="G17" s="21" t="s">
        <v>46</v>
      </c>
      <c r="H17" s="22" t="s">
        <v>47</v>
      </c>
      <c r="I17" s="22"/>
      <c r="J17" s="22"/>
      <c r="K17" s="23" t="s">
        <v>47</v>
      </c>
    </row>
    <row r="18" spans="1:11" ht="31.7" customHeight="1" thickBo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 ht="15.75" x14ac:dyDescent="0.25">
      <c r="A19" s="137" t="s">
        <v>48</v>
      </c>
      <c r="B19" s="138"/>
      <c r="C19" s="138"/>
      <c r="D19" s="138"/>
      <c r="E19" s="139"/>
      <c r="F19" s="14"/>
      <c r="G19" s="137" t="s">
        <v>48</v>
      </c>
      <c r="H19" s="138"/>
      <c r="I19" s="138"/>
      <c r="J19" s="138"/>
      <c r="K19" s="139"/>
    </row>
    <row r="20" spans="1:11" ht="15.75" x14ac:dyDescent="0.25">
      <c r="A20" s="15"/>
      <c r="B20" s="16" t="s">
        <v>40</v>
      </c>
      <c r="C20" s="16" t="s">
        <v>41</v>
      </c>
      <c r="D20" s="16" t="s">
        <v>42</v>
      </c>
      <c r="E20" s="17" t="s">
        <v>43</v>
      </c>
      <c r="F20" s="14"/>
      <c r="G20" s="15"/>
      <c r="H20" s="16" t="s">
        <v>40</v>
      </c>
      <c r="I20" s="16" t="s">
        <v>41</v>
      </c>
      <c r="J20" s="16" t="s">
        <v>42</v>
      </c>
      <c r="K20" s="17" t="s">
        <v>43</v>
      </c>
    </row>
    <row r="21" spans="1:11" ht="15.75" x14ac:dyDescent="0.25">
      <c r="A21" s="18" t="s">
        <v>44</v>
      </c>
      <c r="B21" s="19" t="s">
        <v>47</v>
      </c>
      <c r="C21" s="19" t="s">
        <v>47</v>
      </c>
      <c r="D21" s="19" t="s">
        <v>47</v>
      </c>
      <c r="E21" s="20"/>
      <c r="F21" s="14"/>
      <c r="G21" s="18" t="s">
        <v>44</v>
      </c>
      <c r="H21" s="19" t="s">
        <v>47</v>
      </c>
      <c r="I21" s="19" t="s">
        <v>47</v>
      </c>
      <c r="J21" s="19" t="s">
        <v>47</v>
      </c>
      <c r="K21" s="20"/>
    </row>
    <row r="22" spans="1:11" ht="15.75" x14ac:dyDescent="0.25">
      <c r="A22" s="18" t="s">
        <v>45</v>
      </c>
      <c r="B22" s="19" t="s">
        <v>47</v>
      </c>
      <c r="C22" s="19"/>
      <c r="D22" s="19" t="s">
        <v>47</v>
      </c>
      <c r="E22" s="20"/>
      <c r="F22" s="14"/>
      <c r="G22" s="18" t="s">
        <v>45</v>
      </c>
      <c r="H22" s="19" t="s">
        <v>47</v>
      </c>
      <c r="I22" s="19"/>
      <c r="J22" s="19" t="s">
        <v>47</v>
      </c>
      <c r="K22" s="20"/>
    </row>
    <row r="23" spans="1:11" ht="16.5" thickBot="1" x14ac:dyDescent="0.3">
      <c r="A23" s="21" t="s">
        <v>46</v>
      </c>
      <c r="B23" s="22" t="s">
        <v>47</v>
      </c>
      <c r="C23" s="22"/>
      <c r="D23" s="22"/>
      <c r="E23" s="23" t="s">
        <v>47</v>
      </c>
      <c r="F23" s="14"/>
      <c r="G23" s="21" t="s">
        <v>46</v>
      </c>
      <c r="H23" s="22" t="s">
        <v>47</v>
      </c>
      <c r="I23" s="22"/>
      <c r="J23" s="22"/>
      <c r="K23" s="23" t="s">
        <v>47</v>
      </c>
    </row>
    <row r="24" spans="1:11" ht="40.700000000000003" customHeight="1" thickBo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.75" x14ac:dyDescent="0.25">
      <c r="A25" s="137" t="s">
        <v>48</v>
      </c>
      <c r="B25" s="138"/>
      <c r="C25" s="138"/>
      <c r="D25" s="138"/>
      <c r="E25" s="139"/>
      <c r="F25" s="14"/>
      <c r="G25" s="137" t="s">
        <v>48</v>
      </c>
      <c r="H25" s="138"/>
      <c r="I25" s="138"/>
      <c r="J25" s="138"/>
      <c r="K25" s="139"/>
    </row>
    <row r="26" spans="1:11" ht="15.75" x14ac:dyDescent="0.25">
      <c r="A26" s="15"/>
      <c r="B26" s="16" t="s">
        <v>40</v>
      </c>
      <c r="C26" s="16" t="s">
        <v>41</v>
      </c>
      <c r="D26" s="16" t="s">
        <v>42</v>
      </c>
      <c r="E26" s="17" t="s">
        <v>43</v>
      </c>
      <c r="F26" s="14"/>
      <c r="G26" s="15"/>
      <c r="H26" s="16" t="s">
        <v>40</v>
      </c>
      <c r="I26" s="16" t="s">
        <v>41</v>
      </c>
      <c r="J26" s="16" t="s">
        <v>42</v>
      </c>
      <c r="K26" s="17" t="s">
        <v>43</v>
      </c>
    </row>
    <row r="27" spans="1:11" ht="15.75" x14ac:dyDescent="0.25">
      <c r="A27" s="18" t="s">
        <v>44</v>
      </c>
      <c r="B27" s="19" t="s">
        <v>47</v>
      </c>
      <c r="C27" s="19" t="s">
        <v>47</v>
      </c>
      <c r="D27" s="19" t="s">
        <v>47</v>
      </c>
      <c r="E27" s="20"/>
      <c r="F27" s="14"/>
      <c r="G27" s="18" t="s">
        <v>44</v>
      </c>
      <c r="H27" s="19" t="s">
        <v>47</v>
      </c>
      <c r="I27" s="19" t="s">
        <v>47</v>
      </c>
      <c r="J27" s="19" t="s">
        <v>47</v>
      </c>
      <c r="K27" s="20"/>
    </row>
    <row r="28" spans="1:11" ht="15.75" x14ac:dyDescent="0.25">
      <c r="A28" s="18" t="s">
        <v>45</v>
      </c>
      <c r="B28" s="19" t="s">
        <v>47</v>
      </c>
      <c r="C28" s="19"/>
      <c r="D28" s="19" t="s">
        <v>47</v>
      </c>
      <c r="E28" s="20"/>
      <c r="F28" s="14"/>
      <c r="G28" s="18" t="s">
        <v>45</v>
      </c>
      <c r="H28" s="19" t="s">
        <v>47</v>
      </c>
      <c r="I28" s="19"/>
      <c r="J28" s="19" t="s">
        <v>47</v>
      </c>
      <c r="K28" s="20"/>
    </row>
    <row r="29" spans="1:11" ht="16.5" thickBot="1" x14ac:dyDescent="0.3">
      <c r="A29" s="21" t="s">
        <v>46</v>
      </c>
      <c r="B29" s="22" t="s">
        <v>47</v>
      </c>
      <c r="C29" s="22"/>
      <c r="D29" s="22"/>
      <c r="E29" s="23" t="s">
        <v>47</v>
      </c>
      <c r="F29" s="14"/>
      <c r="G29" s="21" t="s">
        <v>46</v>
      </c>
      <c r="H29" s="22" t="s">
        <v>47</v>
      </c>
      <c r="I29" s="22"/>
      <c r="J29" s="22"/>
      <c r="K29" s="23" t="s">
        <v>47</v>
      </c>
    </row>
    <row r="31" spans="1:11" x14ac:dyDescent="0.25">
      <c r="A31" s="136"/>
      <c r="B31" s="136"/>
      <c r="C31" s="136"/>
      <c r="D31" s="136"/>
      <c r="E31" s="136"/>
      <c r="G31" s="136"/>
      <c r="H31" s="136"/>
      <c r="I31" s="136"/>
      <c r="J31" s="136"/>
      <c r="K31" s="136"/>
    </row>
    <row r="32" spans="1:11" x14ac:dyDescent="0.25">
      <c r="A32" s="10"/>
      <c r="B32" s="11"/>
      <c r="C32" s="11"/>
      <c r="D32" s="11"/>
      <c r="E32" s="11"/>
      <c r="F32" s="25" t="s">
        <v>49</v>
      </c>
      <c r="G32" s="26"/>
      <c r="H32" s="25" t="s">
        <v>79</v>
      </c>
      <c r="I32" s="25"/>
      <c r="J32" s="25" t="s">
        <v>109</v>
      </c>
      <c r="K32" s="25"/>
    </row>
    <row r="33" spans="1:11" x14ac:dyDescent="0.25">
      <c r="A33" s="12"/>
      <c r="B33" s="13"/>
      <c r="C33" s="13"/>
      <c r="D33" s="13"/>
      <c r="E33" s="13"/>
      <c r="F33" s="25" t="s">
        <v>50</v>
      </c>
      <c r="G33" s="28"/>
      <c r="H33" s="25" t="s">
        <v>80</v>
      </c>
      <c r="I33" s="25"/>
      <c r="J33" s="25" t="s">
        <v>110</v>
      </c>
      <c r="K33" s="25"/>
    </row>
    <row r="34" spans="1:11" x14ac:dyDescent="0.25">
      <c r="A34" s="12"/>
      <c r="B34" s="13"/>
      <c r="C34" s="13"/>
      <c r="D34" s="13"/>
      <c r="E34" s="13"/>
      <c r="F34" s="25" t="s">
        <v>51</v>
      </c>
      <c r="G34" s="28"/>
      <c r="H34" s="25" t="s">
        <v>81</v>
      </c>
      <c r="I34" s="25"/>
      <c r="J34" s="25" t="s">
        <v>111</v>
      </c>
      <c r="K34" s="25"/>
    </row>
    <row r="35" spans="1:11" x14ac:dyDescent="0.25">
      <c r="A35" s="12"/>
      <c r="B35" s="13"/>
      <c r="C35" s="13"/>
      <c r="D35" s="13"/>
      <c r="E35" s="13"/>
      <c r="F35" s="25" t="s">
        <v>52</v>
      </c>
      <c r="G35" s="28"/>
      <c r="H35" s="25" t="s">
        <v>82</v>
      </c>
      <c r="I35" s="25"/>
      <c r="J35" s="25" t="s">
        <v>112</v>
      </c>
      <c r="K35" s="25"/>
    </row>
    <row r="36" spans="1:11" x14ac:dyDescent="0.25">
      <c r="F36" s="25" t="s">
        <v>53</v>
      </c>
      <c r="G36" s="25"/>
      <c r="H36" s="25" t="s">
        <v>83</v>
      </c>
      <c r="I36" s="25"/>
      <c r="J36" s="25" t="s">
        <v>113</v>
      </c>
      <c r="K36" s="25"/>
    </row>
    <row r="37" spans="1:11" x14ac:dyDescent="0.25">
      <c r="A37" s="136"/>
      <c r="B37" s="136"/>
      <c r="C37" s="136"/>
      <c r="D37" s="136"/>
      <c r="E37" s="136"/>
      <c r="F37" s="25" t="s">
        <v>54</v>
      </c>
      <c r="G37" s="29"/>
      <c r="H37" s="25" t="s">
        <v>84</v>
      </c>
      <c r="I37" s="25"/>
      <c r="J37" s="25" t="s">
        <v>114</v>
      </c>
      <c r="K37" s="25"/>
    </row>
    <row r="38" spans="1:11" x14ac:dyDescent="0.25">
      <c r="A38" s="10"/>
      <c r="B38" s="11"/>
      <c r="C38" s="11"/>
      <c r="D38" s="11"/>
      <c r="E38" s="11"/>
      <c r="F38" s="25" t="s">
        <v>55</v>
      </c>
      <c r="G38" s="26"/>
      <c r="H38" s="25" t="s">
        <v>85</v>
      </c>
      <c r="I38" s="25"/>
      <c r="J38" s="25" t="s">
        <v>115</v>
      </c>
      <c r="K38" s="25"/>
    </row>
    <row r="39" spans="1:11" x14ac:dyDescent="0.25">
      <c r="A39" s="12"/>
      <c r="B39" s="13"/>
      <c r="C39" s="13"/>
      <c r="D39" s="13"/>
      <c r="E39" s="13"/>
      <c r="F39" s="25" t="s">
        <v>56</v>
      </c>
      <c r="G39" s="28"/>
      <c r="H39" s="25" t="s">
        <v>86</v>
      </c>
      <c r="I39" s="25"/>
      <c r="J39" s="25" t="s">
        <v>116</v>
      </c>
      <c r="K39" s="25"/>
    </row>
    <row r="40" spans="1:11" x14ac:dyDescent="0.25">
      <c r="A40" s="12"/>
      <c r="B40" s="13"/>
      <c r="C40" s="13"/>
      <c r="D40" s="13"/>
      <c r="E40" s="13"/>
      <c r="F40" s="25" t="s">
        <v>57</v>
      </c>
      <c r="G40" s="28"/>
      <c r="H40" s="25" t="s">
        <v>87</v>
      </c>
      <c r="I40" s="25"/>
      <c r="J40" s="25" t="s">
        <v>117</v>
      </c>
      <c r="K40" s="25"/>
    </row>
    <row r="41" spans="1:11" x14ac:dyDescent="0.25">
      <c r="A41" s="12"/>
      <c r="B41" s="13"/>
      <c r="C41" s="13"/>
      <c r="D41" s="13"/>
      <c r="E41" s="13"/>
      <c r="F41" s="25" t="s">
        <v>58</v>
      </c>
      <c r="G41" s="28"/>
      <c r="H41" s="25" t="s">
        <v>88</v>
      </c>
      <c r="I41" s="25"/>
      <c r="J41" s="25" t="s">
        <v>118</v>
      </c>
      <c r="K41" s="25"/>
    </row>
    <row r="42" spans="1:11" x14ac:dyDescent="0.25">
      <c r="F42" s="25" t="s">
        <v>59</v>
      </c>
      <c r="G42" s="25"/>
      <c r="H42" s="25" t="s">
        <v>89</v>
      </c>
      <c r="I42" s="25"/>
      <c r="J42" s="25" t="s">
        <v>119</v>
      </c>
      <c r="K42" s="25"/>
    </row>
    <row r="43" spans="1:11" x14ac:dyDescent="0.25">
      <c r="F43" s="25" t="s">
        <v>60</v>
      </c>
      <c r="G43" s="25"/>
      <c r="H43" s="25" t="s">
        <v>90</v>
      </c>
      <c r="I43" s="25"/>
      <c r="J43" s="25" t="s">
        <v>120</v>
      </c>
      <c r="K43" s="25"/>
    </row>
    <row r="44" spans="1:11" x14ac:dyDescent="0.25">
      <c r="F44" s="25" t="s">
        <v>61</v>
      </c>
      <c r="G44" s="25"/>
      <c r="H44" s="25" t="s">
        <v>91</v>
      </c>
      <c r="I44" s="25"/>
      <c r="J44" s="25" t="s">
        <v>121</v>
      </c>
      <c r="K44" s="25"/>
    </row>
    <row r="45" spans="1:11" x14ac:dyDescent="0.25">
      <c r="F45" s="25" t="s">
        <v>62</v>
      </c>
      <c r="G45" s="25"/>
      <c r="H45" s="25" t="s">
        <v>92</v>
      </c>
      <c r="I45" s="25"/>
      <c r="J45" s="25" t="s">
        <v>122</v>
      </c>
      <c r="K45" s="25"/>
    </row>
    <row r="46" spans="1:11" x14ac:dyDescent="0.25">
      <c r="F46" s="25" t="s">
        <v>63</v>
      </c>
      <c r="G46" s="25"/>
      <c r="H46" s="25" t="s">
        <v>93</v>
      </c>
      <c r="I46" s="25"/>
      <c r="J46" s="25" t="s">
        <v>123</v>
      </c>
      <c r="K46" s="25"/>
    </row>
    <row r="47" spans="1:11" x14ac:dyDescent="0.25">
      <c r="F47" s="25" t="s">
        <v>64</v>
      </c>
      <c r="G47" s="25"/>
      <c r="H47" s="25" t="s">
        <v>94</v>
      </c>
      <c r="I47" s="27"/>
      <c r="J47" s="25" t="s">
        <v>124</v>
      </c>
      <c r="K47" s="25"/>
    </row>
    <row r="48" spans="1:11" x14ac:dyDescent="0.25">
      <c r="F48" s="25" t="s">
        <v>65</v>
      </c>
      <c r="G48" s="25"/>
      <c r="H48" s="25" t="s">
        <v>95</v>
      </c>
      <c r="I48" s="29"/>
      <c r="J48" s="25" t="s">
        <v>125</v>
      </c>
      <c r="K48" s="25"/>
    </row>
    <row r="49" spans="6:11" x14ac:dyDescent="0.25">
      <c r="F49" s="25" t="s">
        <v>66</v>
      </c>
      <c r="G49" s="25"/>
      <c r="H49" s="25" t="s">
        <v>96</v>
      </c>
      <c r="I49" s="29"/>
      <c r="J49" s="25" t="s">
        <v>126</v>
      </c>
      <c r="K49" s="25"/>
    </row>
    <row r="50" spans="6:11" x14ac:dyDescent="0.25">
      <c r="F50" s="25" t="s">
        <v>67</v>
      </c>
      <c r="G50" s="25"/>
      <c r="H50" s="25" t="s">
        <v>97</v>
      </c>
      <c r="I50" s="29"/>
      <c r="J50" s="25" t="s">
        <v>127</v>
      </c>
      <c r="K50" s="25"/>
    </row>
    <row r="51" spans="6:11" x14ac:dyDescent="0.25">
      <c r="F51" s="25" t="s">
        <v>68</v>
      </c>
      <c r="G51" s="25"/>
      <c r="H51" s="25" t="s">
        <v>98</v>
      </c>
      <c r="I51" s="25"/>
      <c r="J51" s="25" t="s">
        <v>128</v>
      </c>
      <c r="K51" s="25"/>
    </row>
    <row r="52" spans="6:11" x14ac:dyDescent="0.25">
      <c r="F52" s="25" t="s">
        <v>69</v>
      </c>
      <c r="G52" s="25"/>
      <c r="H52" s="25" t="s">
        <v>99</v>
      </c>
      <c r="I52" s="29"/>
      <c r="J52" s="25" t="s">
        <v>129</v>
      </c>
      <c r="K52" s="25"/>
    </row>
    <row r="53" spans="6:11" x14ac:dyDescent="0.25">
      <c r="F53" s="25" t="s">
        <v>70</v>
      </c>
      <c r="G53" s="25"/>
      <c r="H53" s="25" t="s">
        <v>100</v>
      </c>
      <c r="I53" s="27"/>
      <c r="J53" s="25" t="s">
        <v>130</v>
      </c>
      <c r="K53" s="25"/>
    </row>
    <row r="54" spans="6:11" x14ac:dyDescent="0.25">
      <c r="F54" s="25" t="s">
        <v>71</v>
      </c>
      <c r="G54" s="25"/>
      <c r="H54" s="25" t="s">
        <v>101</v>
      </c>
      <c r="I54" s="29"/>
      <c r="J54" s="25" t="s">
        <v>131</v>
      </c>
      <c r="K54" s="25"/>
    </row>
    <row r="55" spans="6:11" x14ac:dyDescent="0.25">
      <c r="F55" s="25" t="s">
        <v>72</v>
      </c>
      <c r="G55" s="25"/>
      <c r="H55" s="25" t="s">
        <v>102</v>
      </c>
      <c r="I55" s="29"/>
      <c r="J55" s="25" t="s">
        <v>132</v>
      </c>
      <c r="K55" s="25"/>
    </row>
    <row r="56" spans="6:11" x14ac:dyDescent="0.25">
      <c r="F56" s="25" t="s">
        <v>73</v>
      </c>
      <c r="G56" s="25"/>
      <c r="H56" s="25" t="s">
        <v>103</v>
      </c>
      <c r="I56" s="29"/>
      <c r="J56" s="25" t="s">
        <v>133</v>
      </c>
      <c r="K56" s="25"/>
    </row>
    <row r="57" spans="6:11" x14ac:dyDescent="0.25">
      <c r="F57" s="25" t="s">
        <v>74</v>
      </c>
      <c r="G57" s="25"/>
      <c r="H57" s="25" t="s">
        <v>104</v>
      </c>
      <c r="I57" s="25"/>
      <c r="J57" s="25" t="s">
        <v>134</v>
      </c>
      <c r="K57" s="25"/>
    </row>
    <row r="58" spans="6:11" x14ac:dyDescent="0.25">
      <c r="F58" s="25" t="s">
        <v>75</v>
      </c>
      <c r="G58" s="25"/>
      <c r="H58" s="25" t="s">
        <v>105</v>
      </c>
      <c r="I58" s="25"/>
      <c r="J58" s="25" t="s">
        <v>135</v>
      </c>
      <c r="K58" s="25"/>
    </row>
    <row r="59" spans="6:11" x14ac:dyDescent="0.25">
      <c r="F59" s="25" t="s">
        <v>76</v>
      </c>
      <c r="G59" s="25"/>
      <c r="H59" s="25" t="s">
        <v>106</v>
      </c>
      <c r="I59" s="25"/>
      <c r="J59" s="25" t="s">
        <v>136</v>
      </c>
      <c r="K59" s="25"/>
    </row>
    <row r="60" spans="6:11" x14ac:dyDescent="0.25">
      <c r="F60" s="25" t="s">
        <v>77</v>
      </c>
      <c r="G60" s="25"/>
      <c r="H60" s="25" t="s">
        <v>107</v>
      </c>
      <c r="I60" s="25"/>
      <c r="J60" s="25" t="s">
        <v>137</v>
      </c>
      <c r="K60" s="25"/>
    </row>
    <row r="61" spans="6:11" x14ac:dyDescent="0.25">
      <c r="F61" s="25" t="s">
        <v>78</v>
      </c>
      <c r="G61" s="25"/>
      <c r="H61" s="25" t="s">
        <v>108</v>
      </c>
      <c r="I61" s="25"/>
      <c r="J61" s="25" t="s">
        <v>138</v>
      </c>
      <c r="K61" s="25"/>
    </row>
  </sheetData>
  <mergeCells count="13">
    <mergeCell ref="G31:K31"/>
    <mergeCell ref="A37:E37"/>
    <mergeCell ref="A1:E1"/>
    <mergeCell ref="A7:E7"/>
    <mergeCell ref="A13:E13"/>
    <mergeCell ref="A19:E19"/>
    <mergeCell ref="A25:E25"/>
    <mergeCell ref="A31:E31"/>
    <mergeCell ref="G1:K1"/>
    <mergeCell ref="G7:K7"/>
    <mergeCell ref="G13:K13"/>
    <mergeCell ref="G19:K19"/>
    <mergeCell ref="G25:K25"/>
  </mergeCells>
  <pageMargins left="0.51181102362204722" right="0.51181102362204722" top="0.39370078740157483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APRocha</dc:creator>
  <cp:lastModifiedBy>Raquel Piccoli</cp:lastModifiedBy>
  <cp:lastPrinted>2012-11-05T13:58:48Z</cp:lastPrinted>
  <dcterms:created xsi:type="dcterms:W3CDTF">2011-12-14T15:24:12Z</dcterms:created>
  <dcterms:modified xsi:type="dcterms:W3CDTF">2025-07-03T13:22:02Z</dcterms:modified>
</cp:coreProperties>
</file>